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ABLES\IIS Dropbox\Project Controls\01-Projects\1247 - Linde Sherman TX\06-Progress Tracking\"/>
    </mc:Choice>
  </mc:AlternateContent>
  <xr:revisionPtr revIDLastSave="0" documentId="13_ncr:1_{CFFA4A49-E681-4143-BB1F-B3F092501257}" xr6:coauthVersionLast="47" xr6:coauthVersionMax="47" xr10:uidLastSave="{00000000-0000-0000-0000-000000000000}"/>
  <bookViews>
    <workbookView xWindow="14445" yWindow="-16320" windowWidth="29040" windowHeight="15720" xr2:uid="{00000000-000D-0000-FFFF-FFFF00000000}"/>
  </bookViews>
  <sheets>
    <sheet name="readme demo" sheetId="1" r:id="rId1"/>
  </sheets>
  <definedNames>
    <definedName name="_xlnm._FilterDatabase" localSheetId="0" hidden="1">'readme demo'!$A$9:$CA$416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415" i="1" l="1"/>
  <c r="BS412" i="1"/>
  <c r="BS410" i="1"/>
  <c r="BS409" i="1"/>
  <c r="BS407" i="1"/>
  <c r="BS404" i="1"/>
  <c r="BS403" i="1"/>
  <c r="BS401" i="1"/>
  <c r="BS400" i="1"/>
  <c r="BS398" i="1"/>
  <c r="BS397" i="1"/>
  <c r="BS396" i="1"/>
  <c r="BS395" i="1"/>
  <c r="BS394" i="1"/>
  <c r="BS393" i="1"/>
  <c r="BS392" i="1"/>
  <c r="BS391" i="1"/>
  <c r="BS389" i="1"/>
  <c r="BS388" i="1"/>
  <c r="BS387" i="1"/>
  <c r="BS386" i="1"/>
  <c r="BS385" i="1"/>
  <c r="BS384" i="1"/>
  <c r="BS383" i="1"/>
  <c r="BS382" i="1"/>
  <c r="BS380" i="1"/>
  <c r="BS379" i="1"/>
  <c r="BS378" i="1"/>
  <c r="BS377" i="1"/>
  <c r="BS376" i="1"/>
  <c r="BS375" i="1"/>
  <c r="BS374" i="1"/>
  <c r="BS372" i="1"/>
  <c r="BS371" i="1"/>
  <c r="BS370" i="1"/>
  <c r="BS367" i="1"/>
  <c r="BS366" i="1"/>
  <c r="BS364" i="1"/>
  <c r="BS363" i="1"/>
  <c r="BS362" i="1"/>
  <c r="BS361" i="1"/>
  <c r="BS360" i="1"/>
  <c r="BS359" i="1"/>
  <c r="BS358" i="1"/>
  <c r="BS356" i="1"/>
  <c r="BS354" i="1"/>
  <c r="BS352" i="1"/>
  <c r="BS351" i="1"/>
  <c r="BS350" i="1"/>
  <c r="BS349" i="1"/>
  <c r="BS348" i="1"/>
  <c r="BS347" i="1"/>
  <c r="BS346" i="1"/>
  <c r="BS344" i="1"/>
  <c r="BS343" i="1"/>
  <c r="BS342" i="1"/>
  <c r="BS341" i="1"/>
  <c r="BS340" i="1"/>
  <c r="BS339" i="1"/>
  <c r="BS337" i="1"/>
  <c r="BS336" i="1"/>
  <c r="BS335" i="1"/>
  <c r="BS334" i="1"/>
  <c r="BS332" i="1"/>
  <c r="BS331" i="1"/>
  <c r="BS330" i="1"/>
  <c r="BS328" i="1"/>
  <c r="BS327" i="1"/>
  <c r="BS326" i="1"/>
  <c r="BS325" i="1"/>
  <c r="BS323" i="1"/>
  <c r="BS322" i="1"/>
  <c r="BS320" i="1"/>
  <c r="BS319" i="1"/>
  <c r="BS318" i="1"/>
  <c r="BS317" i="1"/>
  <c r="BS316" i="1"/>
  <c r="BS315" i="1"/>
  <c r="BS314" i="1"/>
  <c r="BS313" i="1"/>
  <c r="BS312" i="1"/>
  <c r="BS311" i="1"/>
  <c r="BS310" i="1"/>
  <c r="BS308" i="1"/>
  <c r="BS307" i="1"/>
  <c r="BS306" i="1"/>
  <c r="BS304" i="1"/>
  <c r="BS303" i="1"/>
  <c r="BS302" i="1"/>
  <c r="BS301" i="1"/>
  <c r="BS299" i="1"/>
  <c r="BS298" i="1"/>
  <c r="BS297" i="1"/>
  <c r="BS296" i="1"/>
  <c r="BS295" i="1"/>
  <c r="BS294" i="1"/>
  <c r="BS293" i="1"/>
  <c r="BS292" i="1"/>
  <c r="BS291" i="1"/>
  <c r="BS289" i="1"/>
  <c r="BS288" i="1"/>
  <c r="BS287" i="1"/>
  <c r="BS286" i="1"/>
  <c r="BS285" i="1"/>
  <c r="BS283" i="1"/>
  <c r="BS282" i="1"/>
  <c r="BS281" i="1"/>
  <c r="BS280" i="1"/>
  <c r="BS279" i="1"/>
  <c r="BS277" i="1"/>
  <c r="BS276" i="1"/>
  <c r="BS275" i="1"/>
  <c r="BS274" i="1"/>
  <c r="BS272" i="1"/>
  <c r="BS271" i="1"/>
  <c r="BS270" i="1"/>
  <c r="BS269" i="1"/>
  <c r="BS268" i="1"/>
  <c r="BS267" i="1"/>
  <c r="BS265" i="1"/>
  <c r="BS264" i="1"/>
  <c r="BS263" i="1"/>
  <c r="BS262" i="1"/>
  <c r="BS260" i="1"/>
  <c r="BS259" i="1"/>
  <c r="BS258" i="1"/>
  <c r="BS257" i="1"/>
  <c r="BS256" i="1"/>
  <c r="BS254" i="1"/>
  <c r="BS253" i="1"/>
  <c r="BS252" i="1"/>
  <c r="BS251" i="1"/>
  <c r="BS249" i="1"/>
  <c r="BS248" i="1"/>
  <c r="BS247" i="1"/>
  <c r="BS246" i="1"/>
  <c r="BS244" i="1"/>
  <c r="BS243" i="1"/>
  <c r="BS242" i="1"/>
  <c r="BS241" i="1"/>
  <c r="BS240" i="1"/>
  <c r="BS238" i="1"/>
  <c r="BS237" i="1"/>
  <c r="BS236" i="1"/>
  <c r="BS235" i="1"/>
  <c r="BS233" i="1"/>
  <c r="BS232" i="1"/>
  <c r="BS231" i="1"/>
  <c r="BS230" i="1"/>
  <c r="BS229" i="1"/>
  <c r="BS228" i="1"/>
  <c r="BS226" i="1"/>
  <c r="BS225" i="1"/>
  <c r="BS224" i="1"/>
  <c r="BS223" i="1"/>
  <c r="BS222" i="1"/>
  <c r="BS221" i="1"/>
  <c r="BS220" i="1"/>
  <c r="BS218" i="1"/>
  <c r="BS217" i="1"/>
  <c r="BS216" i="1"/>
  <c r="BS214" i="1"/>
  <c r="BS213" i="1"/>
  <c r="BS212" i="1"/>
  <c r="BS211" i="1"/>
  <c r="BS210" i="1"/>
  <c r="BS209" i="1"/>
  <c r="BS207" i="1"/>
  <c r="BS206" i="1"/>
  <c r="BS205" i="1"/>
  <c r="BS204" i="1"/>
  <c r="BS202" i="1"/>
  <c r="BS201" i="1"/>
  <c r="BS200" i="1"/>
  <c r="BS199" i="1"/>
  <c r="BS198" i="1"/>
  <c r="BS197" i="1"/>
  <c r="BS196" i="1"/>
  <c r="BS194" i="1"/>
  <c r="BS193" i="1"/>
  <c r="BS192" i="1"/>
  <c r="BS191" i="1"/>
  <c r="BS190" i="1"/>
  <c r="BS189" i="1"/>
  <c r="BS188" i="1"/>
  <c r="BS185" i="1"/>
  <c r="BS184" i="1"/>
  <c r="BS182" i="1"/>
  <c r="BS181" i="1"/>
  <c r="BS179" i="1"/>
  <c r="BS178" i="1"/>
  <c r="BS176" i="1"/>
  <c r="BS175" i="1"/>
  <c r="BS173" i="1"/>
  <c r="BS172" i="1"/>
  <c r="BS170" i="1"/>
  <c r="BS169" i="1"/>
  <c r="BS167" i="1"/>
  <c r="BS166" i="1"/>
  <c r="BS164" i="1"/>
  <c r="BS163" i="1"/>
  <c r="BS161" i="1"/>
  <c r="BS160" i="1"/>
  <c r="BS158" i="1"/>
  <c r="BS157" i="1"/>
  <c r="BS155" i="1"/>
  <c r="BS154" i="1"/>
  <c r="BS151" i="1"/>
  <c r="BS149" i="1"/>
  <c r="BS148" i="1"/>
  <c r="BS146" i="1"/>
  <c r="BS145" i="1"/>
  <c r="BS144" i="1"/>
  <c r="BS143" i="1"/>
  <c r="BS142" i="1"/>
  <c r="BS140" i="1"/>
  <c r="BS139" i="1"/>
  <c r="BS138" i="1"/>
  <c r="BS137" i="1"/>
  <c r="BS136" i="1"/>
  <c r="BS134" i="1"/>
  <c r="BS133" i="1"/>
  <c r="BS131" i="1"/>
  <c r="BS130" i="1"/>
  <c r="BS128" i="1"/>
  <c r="BS127" i="1"/>
  <c r="BS126" i="1"/>
  <c r="BS125" i="1"/>
  <c r="BS124" i="1"/>
  <c r="BS123" i="1"/>
  <c r="BS122" i="1"/>
  <c r="BS121" i="1"/>
  <c r="BS120" i="1"/>
  <c r="BS119" i="1"/>
  <c r="BS118" i="1"/>
  <c r="BS117" i="1"/>
  <c r="BS116" i="1"/>
  <c r="BS114" i="1"/>
  <c r="BS113" i="1"/>
  <c r="BS112" i="1"/>
  <c r="BS111" i="1"/>
  <c r="BS110" i="1"/>
  <c r="BS109" i="1"/>
  <c r="BS107" i="1"/>
  <c r="BS106" i="1"/>
  <c r="BS105" i="1"/>
  <c r="BS104" i="1"/>
  <c r="BS103" i="1"/>
  <c r="BS101" i="1"/>
  <c r="BS100" i="1"/>
  <c r="BS99" i="1"/>
  <c r="BS98" i="1"/>
  <c r="BS96" i="1"/>
  <c r="BS95" i="1"/>
  <c r="BS94" i="1"/>
  <c r="BS93" i="1"/>
  <c r="BS92" i="1"/>
  <c r="BS91" i="1"/>
  <c r="BS89" i="1"/>
  <c r="BS88" i="1"/>
  <c r="BS87" i="1"/>
  <c r="BS86" i="1"/>
  <c r="BS85" i="1"/>
  <c r="BS84" i="1"/>
  <c r="BS83" i="1"/>
  <c r="BS82" i="1"/>
  <c r="BS80" i="1"/>
  <c r="BS79" i="1"/>
  <c r="BS78" i="1"/>
  <c r="BS77" i="1"/>
  <c r="BS76" i="1"/>
  <c r="BS75" i="1"/>
  <c r="BS73" i="1"/>
  <c r="BS72" i="1"/>
  <c r="BS71" i="1"/>
  <c r="BS70" i="1"/>
  <c r="BS69" i="1"/>
  <c r="BS67" i="1"/>
  <c r="BS66" i="1"/>
  <c r="BS65" i="1"/>
  <c r="BS64" i="1"/>
  <c r="BS63" i="1"/>
  <c r="BS61" i="1"/>
  <c r="BS60" i="1"/>
  <c r="BS59" i="1"/>
  <c r="BS58" i="1"/>
  <c r="BS57" i="1"/>
  <c r="BS55" i="1"/>
  <c r="BS54" i="1"/>
  <c r="BS53" i="1"/>
  <c r="BS52" i="1"/>
  <c r="BS51" i="1"/>
  <c r="BS50" i="1"/>
  <c r="BS49" i="1"/>
  <c r="BS48" i="1"/>
  <c r="BS47" i="1"/>
  <c r="BS45" i="1"/>
  <c r="BS44" i="1"/>
  <c r="BS43" i="1"/>
  <c r="BS42" i="1"/>
  <c r="BS41" i="1"/>
  <c r="BS39" i="1"/>
  <c r="BS38" i="1"/>
  <c r="BS37" i="1"/>
  <c r="BS36" i="1"/>
  <c r="BS35" i="1"/>
  <c r="BS32" i="1"/>
  <c r="BS31" i="1"/>
  <c r="BS30" i="1"/>
  <c r="BS29" i="1"/>
  <c r="BS28" i="1"/>
  <c r="BS26" i="1"/>
  <c r="BS25" i="1"/>
  <c r="BS24" i="1"/>
  <c r="BS23" i="1"/>
  <c r="BS20" i="1"/>
  <c r="BS18" i="1"/>
  <c r="BS17" i="1"/>
  <c r="BS15" i="1"/>
  <c r="BS13" i="1"/>
  <c r="BS12" i="1"/>
  <c r="BR415" i="1"/>
  <c r="BR412" i="1"/>
  <c r="BR410" i="1"/>
  <c r="BR409" i="1"/>
  <c r="BR407" i="1"/>
  <c r="BR404" i="1"/>
  <c r="BR403" i="1"/>
  <c r="BR401" i="1"/>
  <c r="BR400" i="1"/>
  <c r="BR398" i="1"/>
  <c r="BR397" i="1"/>
  <c r="BR396" i="1"/>
  <c r="BR395" i="1"/>
  <c r="BR394" i="1"/>
  <c r="BR393" i="1"/>
  <c r="BR392" i="1"/>
  <c r="BR391" i="1"/>
  <c r="BR389" i="1"/>
  <c r="BR388" i="1"/>
  <c r="BR387" i="1"/>
  <c r="BR386" i="1"/>
  <c r="BR385" i="1"/>
  <c r="BR384" i="1"/>
  <c r="BR383" i="1"/>
  <c r="BR382" i="1"/>
  <c r="BR380" i="1"/>
  <c r="BR379" i="1"/>
  <c r="BR378" i="1"/>
  <c r="BR377" i="1"/>
  <c r="BR376" i="1"/>
  <c r="BR375" i="1"/>
  <c r="BR374" i="1"/>
  <c r="BR372" i="1"/>
  <c r="BR371" i="1"/>
  <c r="BR370" i="1"/>
  <c r="BR367" i="1"/>
  <c r="BR366" i="1"/>
  <c r="BR364" i="1"/>
  <c r="BR363" i="1"/>
  <c r="BR362" i="1"/>
  <c r="BR361" i="1"/>
  <c r="BR360" i="1"/>
  <c r="BR359" i="1"/>
  <c r="BR358" i="1"/>
  <c r="BR356" i="1"/>
  <c r="BR354" i="1"/>
  <c r="BR352" i="1"/>
  <c r="BR351" i="1"/>
  <c r="BR350" i="1"/>
  <c r="BR349" i="1"/>
  <c r="BR348" i="1"/>
  <c r="BR347" i="1"/>
  <c r="BR346" i="1"/>
  <c r="BR344" i="1"/>
  <c r="BR343" i="1"/>
  <c r="BR342" i="1"/>
  <c r="BR341" i="1"/>
  <c r="BR340" i="1"/>
  <c r="BR339" i="1"/>
  <c r="BR337" i="1"/>
  <c r="BR336" i="1"/>
  <c r="BR335" i="1"/>
  <c r="BR334" i="1"/>
  <c r="BR332" i="1"/>
  <c r="BR331" i="1"/>
  <c r="BR330" i="1"/>
  <c r="BR328" i="1"/>
  <c r="BR327" i="1"/>
  <c r="BR326" i="1"/>
  <c r="BR325" i="1"/>
  <c r="BR323" i="1"/>
  <c r="BR322" i="1"/>
  <c r="BR320" i="1"/>
  <c r="BR319" i="1"/>
  <c r="BR318" i="1"/>
  <c r="BR317" i="1"/>
  <c r="BR316" i="1"/>
  <c r="BR315" i="1"/>
  <c r="BR314" i="1"/>
  <c r="BR313" i="1"/>
  <c r="BR312" i="1"/>
  <c r="BR311" i="1"/>
  <c r="BR310" i="1"/>
  <c r="BR308" i="1"/>
  <c r="BR307" i="1"/>
  <c r="BR306" i="1"/>
  <c r="BR304" i="1"/>
  <c r="BR303" i="1"/>
  <c r="BR302" i="1"/>
  <c r="BR301" i="1"/>
  <c r="BR299" i="1"/>
  <c r="BR298" i="1"/>
  <c r="BR297" i="1"/>
  <c r="BR296" i="1"/>
  <c r="BR295" i="1"/>
  <c r="BR294" i="1"/>
  <c r="BR293" i="1"/>
  <c r="BR292" i="1"/>
  <c r="BR291" i="1"/>
  <c r="BR289" i="1"/>
  <c r="BR288" i="1"/>
  <c r="BR287" i="1"/>
  <c r="BR286" i="1"/>
  <c r="BR285" i="1"/>
  <c r="BR283" i="1"/>
  <c r="BR282" i="1"/>
  <c r="BR281" i="1"/>
  <c r="BR280" i="1"/>
  <c r="BR279" i="1"/>
  <c r="BR277" i="1"/>
  <c r="BR276" i="1"/>
  <c r="BR275" i="1"/>
  <c r="BR274" i="1"/>
  <c r="BR272" i="1"/>
  <c r="BR271" i="1"/>
  <c r="BR270" i="1"/>
  <c r="BR269" i="1"/>
  <c r="BR268" i="1"/>
  <c r="BR267" i="1"/>
  <c r="BR265" i="1"/>
  <c r="BR264" i="1"/>
  <c r="BR263" i="1"/>
  <c r="BR262" i="1"/>
  <c r="BR260" i="1"/>
  <c r="BR259" i="1"/>
  <c r="BR258" i="1"/>
  <c r="BR257" i="1"/>
  <c r="BR256" i="1"/>
  <c r="BR254" i="1"/>
  <c r="BR253" i="1"/>
  <c r="BR252" i="1"/>
  <c r="BR251" i="1"/>
  <c r="BR249" i="1"/>
  <c r="BR248" i="1"/>
  <c r="BR247" i="1"/>
  <c r="BR246" i="1"/>
  <c r="BR244" i="1"/>
  <c r="BR243" i="1"/>
  <c r="BR242" i="1"/>
  <c r="BR241" i="1"/>
  <c r="BR240" i="1"/>
  <c r="BR238" i="1"/>
  <c r="BR237" i="1"/>
  <c r="BR236" i="1"/>
  <c r="BR235" i="1"/>
  <c r="BR233" i="1"/>
  <c r="BR232" i="1"/>
  <c r="BR231" i="1"/>
  <c r="BR230" i="1"/>
  <c r="BR229" i="1"/>
  <c r="BR228" i="1"/>
  <c r="BR226" i="1"/>
  <c r="BR225" i="1"/>
  <c r="BR224" i="1"/>
  <c r="BR223" i="1"/>
  <c r="BR222" i="1"/>
  <c r="BR221" i="1"/>
  <c r="BR220" i="1"/>
  <c r="BR218" i="1"/>
  <c r="BR217" i="1"/>
  <c r="BR216" i="1"/>
  <c r="BR214" i="1"/>
  <c r="BR213" i="1"/>
  <c r="BR212" i="1"/>
  <c r="BR211" i="1"/>
  <c r="BR210" i="1"/>
  <c r="BR209" i="1"/>
  <c r="BR207" i="1"/>
  <c r="BR206" i="1"/>
  <c r="BR205" i="1"/>
  <c r="BR204" i="1"/>
  <c r="BR202" i="1"/>
  <c r="BR201" i="1"/>
  <c r="BR200" i="1"/>
  <c r="BR199" i="1"/>
  <c r="BR198" i="1"/>
  <c r="BR197" i="1"/>
  <c r="BR196" i="1"/>
  <c r="BR194" i="1"/>
  <c r="BR193" i="1"/>
  <c r="BR192" i="1"/>
  <c r="BR191" i="1"/>
  <c r="BR190" i="1"/>
  <c r="BR189" i="1"/>
  <c r="BR188" i="1"/>
  <c r="BR185" i="1"/>
  <c r="BR184" i="1"/>
  <c r="BR182" i="1"/>
  <c r="BR181" i="1"/>
  <c r="BR179" i="1"/>
  <c r="BR178" i="1"/>
  <c r="BR176" i="1"/>
  <c r="BR175" i="1"/>
  <c r="BR173" i="1"/>
  <c r="BR172" i="1"/>
  <c r="BR170" i="1"/>
  <c r="BR169" i="1"/>
  <c r="BR167" i="1"/>
  <c r="BR166" i="1"/>
  <c r="BR164" i="1"/>
  <c r="BR163" i="1"/>
  <c r="BR161" i="1"/>
  <c r="BR160" i="1"/>
  <c r="BR158" i="1"/>
  <c r="BR157" i="1"/>
  <c r="BR155" i="1"/>
  <c r="BR154" i="1"/>
  <c r="BR151" i="1"/>
  <c r="BR149" i="1"/>
  <c r="BR148" i="1"/>
  <c r="BR146" i="1"/>
  <c r="BR145" i="1"/>
  <c r="BR144" i="1"/>
  <c r="BR143" i="1"/>
  <c r="BR142" i="1"/>
  <c r="BR140" i="1"/>
  <c r="BR139" i="1"/>
  <c r="BR138" i="1"/>
  <c r="BR137" i="1"/>
  <c r="BR136" i="1"/>
  <c r="BR134" i="1"/>
  <c r="BR133" i="1"/>
  <c r="BR131" i="1"/>
  <c r="BR130" i="1"/>
  <c r="BR128" i="1"/>
  <c r="BR127" i="1"/>
  <c r="BR126" i="1"/>
  <c r="BR125" i="1"/>
  <c r="BR124" i="1"/>
  <c r="BR123" i="1"/>
  <c r="BR122" i="1"/>
  <c r="BR121" i="1"/>
  <c r="BR120" i="1"/>
  <c r="BR119" i="1"/>
  <c r="BR118" i="1"/>
  <c r="BR117" i="1"/>
  <c r="BR116" i="1"/>
  <c r="BR114" i="1"/>
  <c r="BR113" i="1"/>
  <c r="BR112" i="1"/>
  <c r="BR111" i="1"/>
  <c r="BR110" i="1"/>
  <c r="BR109" i="1"/>
  <c r="BR107" i="1"/>
  <c r="BR106" i="1"/>
  <c r="BR105" i="1"/>
  <c r="BR104" i="1"/>
  <c r="BR103" i="1"/>
  <c r="BR101" i="1"/>
  <c r="BR100" i="1"/>
  <c r="BR99" i="1"/>
  <c r="BR98" i="1"/>
  <c r="BR96" i="1"/>
  <c r="BR95" i="1"/>
  <c r="BR94" i="1"/>
  <c r="BR93" i="1"/>
  <c r="BR92" i="1"/>
  <c r="BR91" i="1"/>
  <c r="BR89" i="1"/>
  <c r="BR88" i="1"/>
  <c r="BR87" i="1"/>
  <c r="BR86" i="1"/>
  <c r="BR85" i="1"/>
  <c r="BR84" i="1"/>
  <c r="BR83" i="1"/>
  <c r="BR82" i="1"/>
  <c r="BR80" i="1"/>
  <c r="BR79" i="1"/>
  <c r="BR78" i="1"/>
  <c r="BR77" i="1"/>
  <c r="BR76" i="1"/>
  <c r="BR75" i="1"/>
  <c r="BR73" i="1"/>
  <c r="BR72" i="1"/>
  <c r="BR71" i="1"/>
  <c r="BR70" i="1"/>
  <c r="BR69" i="1"/>
  <c r="BR67" i="1"/>
  <c r="BR66" i="1"/>
  <c r="BR65" i="1"/>
  <c r="BR64" i="1"/>
  <c r="BR63" i="1"/>
  <c r="BR61" i="1"/>
  <c r="BR60" i="1"/>
  <c r="BR59" i="1"/>
  <c r="BR58" i="1"/>
  <c r="BR57" i="1"/>
  <c r="BR55" i="1"/>
  <c r="BR54" i="1"/>
  <c r="BR53" i="1"/>
  <c r="BR52" i="1"/>
  <c r="BR51" i="1"/>
  <c r="BR50" i="1"/>
  <c r="BR49" i="1"/>
  <c r="BR48" i="1"/>
  <c r="BR47" i="1"/>
  <c r="BR45" i="1"/>
  <c r="BR44" i="1"/>
  <c r="BR43" i="1"/>
  <c r="BR42" i="1"/>
  <c r="BR41" i="1"/>
  <c r="BR39" i="1"/>
  <c r="BR38" i="1"/>
  <c r="BR37" i="1"/>
  <c r="BR36" i="1"/>
  <c r="BR35" i="1"/>
  <c r="BR32" i="1"/>
  <c r="BR31" i="1"/>
  <c r="BR30" i="1"/>
  <c r="BR29" i="1"/>
  <c r="BR28" i="1"/>
  <c r="BR26" i="1"/>
  <c r="BR25" i="1"/>
  <c r="BR24" i="1"/>
  <c r="BR23" i="1"/>
  <c r="BR20" i="1"/>
  <c r="BR18" i="1"/>
  <c r="BR17" i="1"/>
  <c r="BR15" i="1"/>
  <c r="BR13" i="1"/>
  <c r="BR12" i="1"/>
  <c r="BG8" i="1"/>
  <c r="BZ415" i="1" l="1"/>
  <c r="BZ412" i="1"/>
  <c r="BZ410" i="1"/>
  <c r="BZ409" i="1"/>
  <c r="BZ407" i="1"/>
  <c r="BZ404" i="1"/>
  <c r="BZ403" i="1"/>
  <c r="BZ401" i="1"/>
  <c r="BZ400" i="1"/>
  <c r="BZ398" i="1"/>
  <c r="BZ397" i="1"/>
  <c r="BZ396" i="1"/>
  <c r="BZ395" i="1"/>
  <c r="BZ394" i="1"/>
  <c r="BZ393" i="1"/>
  <c r="BZ392" i="1"/>
  <c r="BZ391" i="1"/>
  <c r="BZ389" i="1"/>
  <c r="BZ388" i="1"/>
  <c r="BZ387" i="1"/>
  <c r="BZ386" i="1"/>
  <c r="BZ385" i="1"/>
  <c r="BZ384" i="1"/>
  <c r="BZ383" i="1"/>
  <c r="BZ382" i="1"/>
  <c r="BZ380" i="1"/>
  <c r="BZ379" i="1"/>
  <c r="BZ378" i="1"/>
  <c r="BZ377" i="1"/>
  <c r="BZ376" i="1"/>
  <c r="BZ375" i="1"/>
  <c r="BZ374" i="1"/>
  <c r="BZ372" i="1"/>
  <c r="BZ371" i="1"/>
  <c r="BZ370" i="1"/>
  <c r="BZ367" i="1"/>
  <c r="BZ366" i="1"/>
  <c r="BZ364" i="1"/>
  <c r="BZ363" i="1"/>
  <c r="BZ362" i="1"/>
  <c r="BZ361" i="1"/>
  <c r="BZ360" i="1"/>
  <c r="BZ359" i="1"/>
  <c r="BZ358" i="1"/>
  <c r="BZ356" i="1"/>
  <c r="BZ354" i="1"/>
  <c r="BZ352" i="1"/>
  <c r="BZ351" i="1"/>
  <c r="BZ350" i="1"/>
  <c r="BZ349" i="1"/>
  <c r="BZ348" i="1"/>
  <c r="BZ347" i="1"/>
  <c r="BZ346" i="1"/>
  <c r="BZ344" i="1"/>
  <c r="BZ343" i="1"/>
  <c r="BZ342" i="1"/>
  <c r="BZ341" i="1"/>
  <c r="BZ340" i="1"/>
  <c r="BZ339" i="1"/>
  <c r="BZ337" i="1"/>
  <c r="BZ336" i="1"/>
  <c r="BZ335" i="1"/>
  <c r="BZ334" i="1"/>
  <c r="BZ332" i="1"/>
  <c r="BZ331" i="1"/>
  <c r="BZ330" i="1"/>
  <c r="BZ328" i="1"/>
  <c r="BZ327" i="1"/>
  <c r="BZ326" i="1"/>
  <c r="BZ325" i="1"/>
  <c r="BZ323" i="1"/>
  <c r="BZ322" i="1"/>
  <c r="BZ320" i="1"/>
  <c r="BZ319" i="1"/>
  <c r="BZ318" i="1"/>
  <c r="BZ317" i="1"/>
  <c r="BZ316" i="1"/>
  <c r="BZ315" i="1"/>
  <c r="BZ314" i="1"/>
  <c r="BZ313" i="1"/>
  <c r="BZ312" i="1"/>
  <c r="BZ311" i="1"/>
  <c r="BZ310" i="1"/>
  <c r="BZ308" i="1"/>
  <c r="BZ307" i="1"/>
  <c r="BZ306" i="1"/>
  <c r="BZ304" i="1"/>
  <c r="BZ303" i="1"/>
  <c r="BZ302" i="1"/>
  <c r="BZ301" i="1"/>
  <c r="BZ299" i="1"/>
  <c r="BZ298" i="1"/>
  <c r="BZ297" i="1"/>
  <c r="BZ296" i="1"/>
  <c r="BZ295" i="1"/>
  <c r="BZ294" i="1"/>
  <c r="BZ293" i="1"/>
  <c r="BZ292" i="1"/>
  <c r="BZ291" i="1"/>
  <c r="BZ289" i="1"/>
  <c r="BZ288" i="1"/>
  <c r="BZ287" i="1"/>
  <c r="BZ286" i="1"/>
  <c r="BZ285" i="1"/>
  <c r="BZ283" i="1"/>
  <c r="BZ282" i="1"/>
  <c r="BZ281" i="1"/>
  <c r="BZ280" i="1"/>
  <c r="BZ279" i="1"/>
  <c r="BZ277" i="1"/>
  <c r="BZ276" i="1"/>
  <c r="BZ275" i="1"/>
  <c r="BZ274" i="1"/>
  <c r="BZ272" i="1"/>
  <c r="BZ271" i="1"/>
  <c r="BZ270" i="1"/>
  <c r="BZ269" i="1"/>
  <c r="BZ268" i="1"/>
  <c r="BZ267" i="1"/>
  <c r="BZ265" i="1"/>
  <c r="BZ264" i="1"/>
  <c r="BZ263" i="1"/>
  <c r="BZ262" i="1"/>
  <c r="BZ260" i="1"/>
  <c r="BZ259" i="1"/>
  <c r="BZ258" i="1"/>
  <c r="BZ257" i="1"/>
  <c r="BZ256" i="1"/>
  <c r="BZ254" i="1"/>
  <c r="BZ253" i="1"/>
  <c r="BZ252" i="1"/>
  <c r="BZ251" i="1"/>
  <c r="BZ249" i="1"/>
  <c r="BZ248" i="1"/>
  <c r="BZ247" i="1"/>
  <c r="BZ246" i="1"/>
  <c r="BZ244" i="1"/>
  <c r="BZ243" i="1"/>
  <c r="BZ242" i="1"/>
  <c r="BZ241" i="1"/>
  <c r="BZ240" i="1"/>
  <c r="BZ238" i="1"/>
  <c r="BZ237" i="1"/>
  <c r="BZ236" i="1"/>
  <c r="BZ235" i="1"/>
  <c r="BZ233" i="1"/>
  <c r="BZ232" i="1"/>
  <c r="BZ231" i="1"/>
  <c r="BZ230" i="1"/>
  <c r="BZ229" i="1"/>
  <c r="BZ228" i="1"/>
  <c r="BZ226" i="1"/>
  <c r="BZ225" i="1"/>
  <c r="BZ224" i="1"/>
  <c r="BZ223" i="1"/>
  <c r="BZ222" i="1"/>
  <c r="BZ221" i="1"/>
  <c r="BZ220" i="1"/>
  <c r="BZ218" i="1"/>
  <c r="BZ217" i="1"/>
  <c r="BZ216" i="1"/>
  <c r="BZ214" i="1"/>
  <c r="BZ213" i="1"/>
  <c r="BZ212" i="1"/>
  <c r="BZ211" i="1"/>
  <c r="BZ210" i="1"/>
  <c r="BZ209" i="1"/>
  <c r="BZ207" i="1"/>
  <c r="BZ206" i="1"/>
  <c r="BZ205" i="1"/>
  <c r="BZ204" i="1"/>
  <c r="BZ202" i="1"/>
  <c r="BZ201" i="1"/>
  <c r="BZ200" i="1"/>
  <c r="BZ199" i="1"/>
  <c r="BZ198" i="1"/>
  <c r="BZ197" i="1"/>
  <c r="BZ196" i="1"/>
  <c r="BZ194" i="1"/>
  <c r="BZ193" i="1"/>
  <c r="BZ192" i="1"/>
  <c r="BZ191" i="1"/>
  <c r="BZ190" i="1"/>
  <c r="BZ189" i="1"/>
  <c r="BZ188" i="1"/>
  <c r="BZ185" i="1"/>
  <c r="BZ184" i="1"/>
  <c r="BZ182" i="1"/>
  <c r="BZ181" i="1"/>
  <c r="BZ179" i="1"/>
  <c r="BZ178" i="1"/>
  <c r="BZ176" i="1"/>
  <c r="BZ175" i="1"/>
  <c r="BZ173" i="1"/>
  <c r="BZ172" i="1"/>
  <c r="BZ170" i="1"/>
  <c r="BZ169" i="1"/>
  <c r="BZ167" i="1"/>
  <c r="BZ166" i="1"/>
  <c r="BZ164" i="1"/>
  <c r="BZ163" i="1"/>
  <c r="BZ161" i="1"/>
  <c r="BZ160" i="1"/>
  <c r="BZ158" i="1"/>
  <c r="BZ157" i="1"/>
  <c r="BZ155" i="1"/>
  <c r="BZ154" i="1"/>
  <c r="BZ151" i="1"/>
  <c r="BZ149" i="1"/>
  <c r="BZ148" i="1"/>
  <c r="BZ146" i="1"/>
  <c r="BZ145" i="1"/>
  <c r="BZ144" i="1"/>
  <c r="BZ143" i="1"/>
  <c r="BZ142" i="1"/>
  <c r="BZ140" i="1"/>
  <c r="BZ139" i="1"/>
  <c r="BZ138" i="1"/>
  <c r="BZ137" i="1"/>
  <c r="BZ136" i="1"/>
  <c r="BZ134" i="1"/>
  <c r="BZ133" i="1"/>
  <c r="BZ131" i="1"/>
  <c r="BZ130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4" i="1"/>
  <c r="BZ113" i="1"/>
  <c r="BZ112" i="1"/>
  <c r="BZ111" i="1"/>
  <c r="BZ110" i="1"/>
  <c r="BZ109" i="1"/>
  <c r="BZ107" i="1"/>
  <c r="BZ106" i="1"/>
  <c r="BZ105" i="1"/>
  <c r="BZ104" i="1"/>
  <c r="BZ103" i="1"/>
  <c r="BZ101" i="1"/>
  <c r="BZ100" i="1"/>
  <c r="BZ99" i="1"/>
  <c r="BZ98" i="1"/>
  <c r="BZ96" i="1"/>
  <c r="BZ95" i="1"/>
  <c r="BZ94" i="1"/>
  <c r="BZ93" i="1"/>
  <c r="BZ92" i="1"/>
  <c r="BZ91" i="1"/>
  <c r="BZ89" i="1"/>
  <c r="BZ88" i="1"/>
  <c r="BZ87" i="1"/>
  <c r="BZ86" i="1"/>
  <c r="BZ85" i="1"/>
  <c r="BZ84" i="1"/>
  <c r="BZ83" i="1"/>
  <c r="BZ82" i="1"/>
  <c r="BZ80" i="1"/>
  <c r="BZ79" i="1"/>
  <c r="BZ78" i="1"/>
  <c r="BZ77" i="1"/>
  <c r="BZ76" i="1"/>
  <c r="BZ75" i="1"/>
  <c r="BZ73" i="1"/>
  <c r="BZ72" i="1"/>
  <c r="BZ71" i="1"/>
  <c r="BZ70" i="1"/>
  <c r="BZ69" i="1"/>
  <c r="BZ67" i="1"/>
  <c r="BZ66" i="1"/>
  <c r="BZ65" i="1"/>
  <c r="BZ64" i="1"/>
  <c r="BZ63" i="1"/>
  <c r="BZ61" i="1"/>
  <c r="BZ60" i="1"/>
  <c r="BZ59" i="1"/>
  <c r="BZ58" i="1"/>
  <c r="BZ57" i="1"/>
  <c r="BZ55" i="1"/>
  <c r="BZ54" i="1"/>
  <c r="BZ53" i="1"/>
  <c r="BZ52" i="1"/>
  <c r="BZ51" i="1"/>
  <c r="BZ50" i="1"/>
  <c r="BZ49" i="1"/>
  <c r="BZ48" i="1"/>
  <c r="BZ47" i="1"/>
  <c r="BZ45" i="1"/>
  <c r="BZ44" i="1"/>
  <c r="BZ43" i="1"/>
  <c r="BZ42" i="1"/>
  <c r="BZ41" i="1"/>
  <c r="BZ39" i="1"/>
  <c r="BZ38" i="1"/>
  <c r="BZ37" i="1"/>
  <c r="BZ36" i="1"/>
  <c r="BZ35" i="1"/>
  <c r="BZ32" i="1"/>
  <c r="BZ31" i="1"/>
  <c r="BZ30" i="1"/>
  <c r="BZ29" i="1"/>
  <c r="BZ28" i="1"/>
  <c r="BZ26" i="1"/>
  <c r="BZ25" i="1"/>
  <c r="BZ24" i="1"/>
  <c r="BZ23" i="1"/>
  <c r="BZ20" i="1"/>
  <c r="BZ18" i="1"/>
  <c r="BZ17" i="1"/>
  <c r="BZ15" i="1"/>
  <c r="BZ13" i="1"/>
  <c r="BZ12" i="1"/>
  <c r="BV6" i="1"/>
  <c r="BW6" i="1" s="1"/>
  <c r="BX6" i="1" s="1"/>
  <c r="BY6" i="1" s="1"/>
  <c r="BZ6" i="1" s="1"/>
  <c r="CA6" i="1" s="1"/>
  <c r="BN6" i="1"/>
  <c r="BO6" i="1" s="1"/>
  <c r="BP6" i="1" s="1"/>
  <c r="BQ6" i="1" s="1"/>
  <c r="BR6" i="1" s="1"/>
  <c r="BS6" i="1" s="1"/>
  <c r="CA415" i="1"/>
  <c r="BQ415" i="1"/>
  <c r="BY415" i="1" s="1"/>
  <c r="BP415" i="1"/>
  <c r="BX415" i="1" s="1"/>
  <c r="BO415" i="1"/>
  <c r="BW415" i="1" s="1"/>
  <c r="BN415" i="1"/>
  <c r="BV415" i="1" s="1"/>
  <c r="BM415" i="1"/>
  <c r="CA412" i="1"/>
  <c r="BQ412" i="1"/>
  <c r="BY412" i="1" s="1"/>
  <c r="BP412" i="1"/>
  <c r="BX412" i="1" s="1"/>
  <c r="BO412" i="1"/>
  <c r="BW412" i="1" s="1"/>
  <c r="BN412" i="1"/>
  <c r="BV412" i="1" s="1"/>
  <c r="BM412" i="1"/>
  <c r="CA410" i="1"/>
  <c r="BQ410" i="1"/>
  <c r="BY410" i="1" s="1"/>
  <c r="BP410" i="1"/>
  <c r="BX410" i="1" s="1"/>
  <c r="BO410" i="1"/>
  <c r="BW410" i="1" s="1"/>
  <c r="BN410" i="1"/>
  <c r="BV410" i="1" s="1"/>
  <c r="BM410" i="1"/>
  <c r="CA409" i="1"/>
  <c r="BQ409" i="1"/>
  <c r="BY409" i="1" s="1"/>
  <c r="BP409" i="1"/>
  <c r="BX409" i="1" s="1"/>
  <c r="BO409" i="1"/>
  <c r="BW409" i="1" s="1"/>
  <c r="BN409" i="1"/>
  <c r="BV409" i="1" s="1"/>
  <c r="BM409" i="1"/>
  <c r="BU409" i="1" s="1"/>
  <c r="CA407" i="1"/>
  <c r="BQ407" i="1"/>
  <c r="BY407" i="1" s="1"/>
  <c r="BP407" i="1"/>
  <c r="BX407" i="1" s="1"/>
  <c r="BO407" i="1"/>
  <c r="BW407" i="1" s="1"/>
  <c r="BN407" i="1"/>
  <c r="BV407" i="1" s="1"/>
  <c r="BM407" i="1"/>
  <c r="CA404" i="1"/>
  <c r="BQ404" i="1"/>
  <c r="BY404" i="1" s="1"/>
  <c r="BP404" i="1"/>
  <c r="BX404" i="1" s="1"/>
  <c r="BO404" i="1"/>
  <c r="BW404" i="1" s="1"/>
  <c r="BN404" i="1"/>
  <c r="BV404" i="1" s="1"/>
  <c r="BM404" i="1"/>
  <c r="CA403" i="1"/>
  <c r="BQ403" i="1"/>
  <c r="BY403" i="1" s="1"/>
  <c r="BP403" i="1"/>
  <c r="BX403" i="1" s="1"/>
  <c r="BO403" i="1"/>
  <c r="BW403" i="1" s="1"/>
  <c r="BN403" i="1"/>
  <c r="BV403" i="1" s="1"/>
  <c r="BM403" i="1"/>
  <c r="CA401" i="1"/>
  <c r="BQ401" i="1"/>
  <c r="BY401" i="1" s="1"/>
  <c r="BP401" i="1"/>
  <c r="BX401" i="1" s="1"/>
  <c r="BO401" i="1"/>
  <c r="BW401" i="1" s="1"/>
  <c r="BN401" i="1"/>
  <c r="BV401" i="1" s="1"/>
  <c r="BM401" i="1"/>
  <c r="CA400" i="1"/>
  <c r="BQ400" i="1"/>
  <c r="BY400" i="1" s="1"/>
  <c r="BP400" i="1"/>
  <c r="BX400" i="1" s="1"/>
  <c r="BO400" i="1"/>
  <c r="BW400" i="1" s="1"/>
  <c r="BN400" i="1"/>
  <c r="BV400" i="1" s="1"/>
  <c r="BM400" i="1"/>
  <c r="CA398" i="1"/>
  <c r="BQ398" i="1"/>
  <c r="BY398" i="1" s="1"/>
  <c r="BP398" i="1"/>
  <c r="BX398" i="1" s="1"/>
  <c r="BO398" i="1"/>
  <c r="BW398" i="1" s="1"/>
  <c r="BN398" i="1"/>
  <c r="BV398" i="1" s="1"/>
  <c r="BM398" i="1"/>
  <c r="CA397" i="1"/>
  <c r="BQ397" i="1"/>
  <c r="BY397" i="1" s="1"/>
  <c r="BP397" i="1"/>
  <c r="BX397" i="1" s="1"/>
  <c r="BO397" i="1"/>
  <c r="BW397" i="1" s="1"/>
  <c r="BN397" i="1"/>
  <c r="BV397" i="1" s="1"/>
  <c r="BM397" i="1"/>
  <c r="BU397" i="1" s="1"/>
  <c r="CA396" i="1"/>
  <c r="BQ396" i="1"/>
  <c r="BY396" i="1" s="1"/>
  <c r="BP396" i="1"/>
  <c r="BX396" i="1" s="1"/>
  <c r="BO396" i="1"/>
  <c r="BW396" i="1" s="1"/>
  <c r="BN396" i="1"/>
  <c r="BV396" i="1" s="1"/>
  <c r="BM396" i="1"/>
  <c r="CA395" i="1"/>
  <c r="BQ395" i="1"/>
  <c r="BY395" i="1" s="1"/>
  <c r="BP395" i="1"/>
  <c r="BX395" i="1" s="1"/>
  <c r="BO395" i="1"/>
  <c r="BW395" i="1" s="1"/>
  <c r="BN395" i="1"/>
  <c r="BV395" i="1" s="1"/>
  <c r="BM395" i="1"/>
  <c r="CA394" i="1"/>
  <c r="BQ394" i="1"/>
  <c r="BY394" i="1" s="1"/>
  <c r="BP394" i="1"/>
  <c r="BX394" i="1" s="1"/>
  <c r="BO394" i="1"/>
  <c r="BW394" i="1" s="1"/>
  <c r="BN394" i="1"/>
  <c r="BV394" i="1" s="1"/>
  <c r="BM394" i="1"/>
  <c r="CA393" i="1"/>
  <c r="BQ393" i="1"/>
  <c r="BY393" i="1" s="1"/>
  <c r="BP393" i="1"/>
  <c r="BX393" i="1" s="1"/>
  <c r="BO393" i="1"/>
  <c r="BW393" i="1" s="1"/>
  <c r="BN393" i="1"/>
  <c r="BV393" i="1" s="1"/>
  <c r="BM393" i="1"/>
  <c r="BU393" i="1" s="1"/>
  <c r="CA392" i="1"/>
  <c r="BQ392" i="1"/>
  <c r="BY392" i="1" s="1"/>
  <c r="BP392" i="1"/>
  <c r="BX392" i="1" s="1"/>
  <c r="BO392" i="1"/>
  <c r="BW392" i="1" s="1"/>
  <c r="BN392" i="1"/>
  <c r="BV392" i="1" s="1"/>
  <c r="BM392" i="1"/>
  <c r="CA391" i="1"/>
  <c r="BQ391" i="1"/>
  <c r="BY391" i="1" s="1"/>
  <c r="BP391" i="1"/>
  <c r="BX391" i="1" s="1"/>
  <c r="BO391" i="1"/>
  <c r="BW391" i="1" s="1"/>
  <c r="BN391" i="1"/>
  <c r="BV391" i="1" s="1"/>
  <c r="BM391" i="1"/>
  <c r="CA389" i="1"/>
  <c r="BQ389" i="1"/>
  <c r="BY389" i="1" s="1"/>
  <c r="BP389" i="1"/>
  <c r="BX389" i="1" s="1"/>
  <c r="BO389" i="1"/>
  <c r="BW389" i="1" s="1"/>
  <c r="BN389" i="1"/>
  <c r="BV389" i="1" s="1"/>
  <c r="BM389" i="1"/>
  <c r="CA388" i="1"/>
  <c r="BQ388" i="1"/>
  <c r="BY388" i="1" s="1"/>
  <c r="BP388" i="1"/>
  <c r="BX388" i="1" s="1"/>
  <c r="BO388" i="1"/>
  <c r="BW388" i="1" s="1"/>
  <c r="BN388" i="1"/>
  <c r="BV388" i="1" s="1"/>
  <c r="BM388" i="1"/>
  <c r="CA387" i="1"/>
  <c r="BQ387" i="1"/>
  <c r="BY387" i="1" s="1"/>
  <c r="BP387" i="1"/>
  <c r="BX387" i="1" s="1"/>
  <c r="BO387" i="1"/>
  <c r="BW387" i="1" s="1"/>
  <c r="BN387" i="1"/>
  <c r="BV387" i="1" s="1"/>
  <c r="BM387" i="1"/>
  <c r="CA386" i="1"/>
  <c r="BQ386" i="1"/>
  <c r="BY386" i="1" s="1"/>
  <c r="BP386" i="1"/>
  <c r="BX386" i="1" s="1"/>
  <c r="BO386" i="1"/>
  <c r="BW386" i="1" s="1"/>
  <c r="BN386" i="1"/>
  <c r="BV386" i="1" s="1"/>
  <c r="BM386" i="1"/>
  <c r="CA385" i="1"/>
  <c r="BQ385" i="1"/>
  <c r="BY385" i="1" s="1"/>
  <c r="BP385" i="1"/>
  <c r="BX385" i="1" s="1"/>
  <c r="BO385" i="1"/>
  <c r="BW385" i="1" s="1"/>
  <c r="BN385" i="1"/>
  <c r="BV385" i="1" s="1"/>
  <c r="BM385" i="1"/>
  <c r="BU385" i="1" s="1"/>
  <c r="CA384" i="1"/>
  <c r="BQ384" i="1"/>
  <c r="BY384" i="1" s="1"/>
  <c r="BP384" i="1"/>
  <c r="BX384" i="1" s="1"/>
  <c r="BO384" i="1"/>
  <c r="BW384" i="1" s="1"/>
  <c r="BN384" i="1"/>
  <c r="BV384" i="1" s="1"/>
  <c r="BM384" i="1"/>
  <c r="CA383" i="1"/>
  <c r="BQ383" i="1"/>
  <c r="BY383" i="1" s="1"/>
  <c r="BP383" i="1"/>
  <c r="BX383" i="1" s="1"/>
  <c r="BO383" i="1"/>
  <c r="BW383" i="1" s="1"/>
  <c r="BN383" i="1"/>
  <c r="BV383" i="1" s="1"/>
  <c r="BM383" i="1"/>
  <c r="CA382" i="1"/>
  <c r="BQ382" i="1"/>
  <c r="BY382" i="1" s="1"/>
  <c r="BP382" i="1"/>
  <c r="BX382" i="1" s="1"/>
  <c r="BO382" i="1"/>
  <c r="BW382" i="1" s="1"/>
  <c r="BN382" i="1"/>
  <c r="BV382" i="1" s="1"/>
  <c r="BM382" i="1"/>
  <c r="CA380" i="1"/>
  <c r="BQ380" i="1"/>
  <c r="BY380" i="1" s="1"/>
  <c r="BP380" i="1"/>
  <c r="BX380" i="1" s="1"/>
  <c r="BO380" i="1"/>
  <c r="BW380" i="1" s="1"/>
  <c r="BN380" i="1"/>
  <c r="BV380" i="1" s="1"/>
  <c r="BM380" i="1"/>
  <c r="BU380" i="1" s="1"/>
  <c r="CA379" i="1"/>
  <c r="BQ379" i="1"/>
  <c r="BY379" i="1" s="1"/>
  <c r="BP379" i="1"/>
  <c r="BX379" i="1" s="1"/>
  <c r="BO379" i="1"/>
  <c r="BW379" i="1" s="1"/>
  <c r="BN379" i="1"/>
  <c r="BV379" i="1" s="1"/>
  <c r="BM379" i="1"/>
  <c r="CA378" i="1"/>
  <c r="BQ378" i="1"/>
  <c r="BY378" i="1" s="1"/>
  <c r="BP378" i="1"/>
  <c r="BX378" i="1" s="1"/>
  <c r="BO378" i="1"/>
  <c r="BW378" i="1" s="1"/>
  <c r="BN378" i="1"/>
  <c r="BV378" i="1" s="1"/>
  <c r="BM378" i="1"/>
  <c r="CA377" i="1"/>
  <c r="BQ377" i="1"/>
  <c r="BY377" i="1" s="1"/>
  <c r="BP377" i="1"/>
  <c r="BX377" i="1" s="1"/>
  <c r="BO377" i="1"/>
  <c r="BW377" i="1" s="1"/>
  <c r="BN377" i="1"/>
  <c r="BV377" i="1" s="1"/>
  <c r="BM377" i="1"/>
  <c r="CA376" i="1"/>
  <c r="BQ376" i="1"/>
  <c r="BY376" i="1" s="1"/>
  <c r="BP376" i="1"/>
  <c r="BX376" i="1" s="1"/>
  <c r="BO376" i="1"/>
  <c r="BW376" i="1" s="1"/>
  <c r="BN376" i="1"/>
  <c r="BV376" i="1" s="1"/>
  <c r="BM376" i="1"/>
  <c r="BU376" i="1" s="1"/>
  <c r="CA375" i="1"/>
  <c r="BQ375" i="1"/>
  <c r="BY375" i="1" s="1"/>
  <c r="BP375" i="1"/>
  <c r="BX375" i="1" s="1"/>
  <c r="BO375" i="1"/>
  <c r="BW375" i="1" s="1"/>
  <c r="BN375" i="1"/>
  <c r="BV375" i="1" s="1"/>
  <c r="BM375" i="1"/>
  <c r="CA374" i="1"/>
  <c r="BQ374" i="1"/>
  <c r="BY374" i="1" s="1"/>
  <c r="BP374" i="1"/>
  <c r="BX374" i="1" s="1"/>
  <c r="BO374" i="1"/>
  <c r="BW374" i="1" s="1"/>
  <c r="BN374" i="1"/>
  <c r="BV374" i="1" s="1"/>
  <c r="BM374" i="1"/>
  <c r="CA372" i="1"/>
  <c r="BQ372" i="1"/>
  <c r="BY372" i="1" s="1"/>
  <c r="BP372" i="1"/>
  <c r="BX372" i="1" s="1"/>
  <c r="BO372" i="1"/>
  <c r="BW372" i="1" s="1"/>
  <c r="BN372" i="1"/>
  <c r="BV372" i="1" s="1"/>
  <c r="BM372" i="1"/>
  <c r="CA371" i="1"/>
  <c r="BQ371" i="1"/>
  <c r="BY371" i="1" s="1"/>
  <c r="BP371" i="1"/>
  <c r="BX371" i="1" s="1"/>
  <c r="BO371" i="1"/>
  <c r="BW371" i="1" s="1"/>
  <c r="BN371" i="1"/>
  <c r="BV371" i="1" s="1"/>
  <c r="BM371" i="1"/>
  <c r="CA370" i="1"/>
  <c r="BQ370" i="1"/>
  <c r="BY370" i="1" s="1"/>
  <c r="BP370" i="1"/>
  <c r="BX370" i="1" s="1"/>
  <c r="BO370" i="1"/>
  <c r="BW370" i="1" s="1"/>
  <c r="BN370" i="1"/>
  <c r="BV370" i="1" s="1"/>
  <c r="BM370" i="1"/>
  <c r="CA367" i="1"/>
  <c r="BQ367" i="1"/>
  <c r="BY367" i="1" s="1"/>
  <c r="BP367" i="1"/>
  <c r="BX367" i="1" s="1"/>
  <c r="BO367" i="1"/>
  <c r="BW367" i="1" s="1"/>
  <c r="BN367" i="1"/>
  <c r="BV367" i="1" s="1"/>
  <c r="BM367" i="1"/>
  <c r="CA366" i="1"/>
  <c r="BQ366" i="1"/>
  <c r="BY366" i="1" s="1"/>
  <c r="BP366" i="1"/>
  <c r="BX366" i="1" s="1"/>
  <c r="BO366" i="1"/>
  <c r="BW366" i="1" s="1"/>
  <c r="BN366" i="1"/>
  <c r="BV366" i="1" s="1"/>
  <c r="BM366" i="1"/>
  <c r="CA364" i="1"/>
  <c r="BQ364" i="1"/>
  <c r="BY364" i="1" s="1"/>
  <c r="BP364" i="1"/>
  <c r="BX364" i="1" s="1"/>
  <c r="BO364" i="1"/>
  <c r="BW364" i="1" s="1"/>
  <c r="BN364" i="1"/>
  <c r="BV364" i="1" s="1"/>
  <c r="BM364" i="1"/>
  <c r="CA363" i="1"/>
  <c r="BQ363" i="1"/>
  <c r="BY363" i="1" s="1"/>
  <c r="BP363" i="1"/>
  <c r="BX363" i="1" s="1"/>
  <c r="BO363" i="1"/>
  <c r="BW363" i="1" s="1"/>
  <c r="BN363" i="1"/>
  <c r="BV363" i="1" s="1"/>
  <c r="BM363" i="1"/>
  <c r="CA362" i="1"/>
  <c r="BQ362" i="1"/>
  <c r="BY362" i="1" s="1"/>
  <c r="BP362" i="1"/>
  <c r="BX362" i="1" s="1"/>
  <c r="BO362" i="1"/>
  <c r="BW362" i="1" s="1"/>
  <c r="BN362" i="1"/>
  <c r="BV362" i="1" s="1"/>
  <c r="BM362" i="1"/>
  <c r="BU362" i="1" s="1"/>
  <c r="CA361" i="1"/>
  <c r="BQ361" i="1"/>
  <c r="BY361" i="1" s="1"/>
  <c r="BP361" i="1"/>
  <c r="BX361" i="1" s="1"/>
  <c r="BO361" i="1"/>
  <c r="BW361" i="1" s="1"/>
  <c r="BN361" i="1"/>
  <c r="BV361" i="1" s="1"/>
  <c r="BM361" i="1"/>
  <c r="CA360" i="1"/>
  <c r="BQ360" i="1"/>
  <c r="BY360" i="1" s="1"/>
  <c r="BP360" i="1"/>
  <c r="BX360" i="1" s="1"/>
  <c r="BO360" i="1"/>
  <c r="BW360" i="1" s="1"/>
  <c r="BN360" i="1"/>
  <c r="BV360" i="1" s="1"/>
  <c r="BM360" i="1"/>
  <c r="CA359" i="1"/>
  <c r="BQ359" i="1"/>
  <c r="BY359" i="1" s="1"/>
  <c r="BP359" i="1"/>
  <c r="BX359" i="1" s="1"/>
  <c r="BO359" i="1"/>
  <c r="BW359" i="1" s="1"/>
  <c r="BN359" i="1"/>
  <c r="BV359" i="1" s="1"/>
  <c r="BM359" i="1"/>
  <c r="CA358" i="1"/>
  <c r="BQ358" i="1"/>
  <c r="BY358" i="1" s="1"/>
  <c r="BP358" i="1"/>
  <c r="BX358" i="1" s="1"/>
  <c r="BO358" i="1"/>
  <c r="BW358" i="1" s="1"/>
  <c r="BN358" i="1"/>
  <c r="BV358" i="1" s="1"/>
  <c r="BM358" i="1"/>
  <c r="CA356" i="1"/>
  <c r="BQ356" i="1"/>
  <c r="BY356" i="1" s="1"/>
  <c r="BP356" i="1"/>
  <c r="BX356" i="1" s="1"/>
  <c r="BO356" i="1"/>
  <c r="BW356" i="1" s="1"/>
  <c r="BN356" i="1"/>
  <c r="BV356" i="1" s="1"/>
  <c r="BM356" i="1"/>
  <c r="CA354" i="1"/>
  <c r="BQ354" i="1"/>
  <c r="BY354" i="1" s="1"/>
  <c r="BP354" i="1"/>
  <c r="BX354" i="1" s="1"/>
  <c r="BO354" i="1"/>
  <c r="BW354" i="1" s="1"/>
  <c r="BN354" i="1"/>
  <c r="BV354" i="1" s="1"/>
  <c r="BM354" i="1"/>
  <c r="CA352" i="1"/>
  <c r="BQ352" i="1"/>
  <c r="BY352" i="1" s="1"/>
  <c r="BP352" i="1"/>
  <c r="BX352" i="1" s="1"/>
  <c r="BO352" i="1"/>
  <c r="BW352" i="1" s="1"/>
  <c r="BN352" i="1"/>
  <c r="BV352" i="1" s="1"/>
  <c r="BM352" i="1"/>
  <c r="CA351" i="1"/>
  <c r="BQ351" i="1"/>
  <c r="BY351" i="1" s="1"/>
  <c r="BP351" i="1"/>
  <c r="BX351" i="1" s="1"/>
  <c r="BO351" i="1"/>
  <c r="BW351" i="1" s="1"/>
  <c r="BN351" i="1"/>
  <c r="BV351" i="1" s="1"/>
  <c r="BM351" i="1"/>
  <c r="CA350" i="1"/>
  <c r="BQ350" i="1"/>
  <c r="BY350" i="1" s="1"/>
  <c r="BP350" i="1"/>
  <c r="BX350" i="1" s="1"/>
  <c r="BO350" i="1"/>
  <c r="BW350" i="1" s="1"/>
  <c r="BN350" i="1"/>
  <c r="BV350" i="1" s="1"/>
  <c r="BM350" i="1"/>
  <c r="CA349" i="1"/>
  <c r="BQ349" i="1"/>
  <c r="BY349" i="1" s="1"/>
  <c r="BP349" i="1"/>
  <c r="BX349" i="1" s="1"/>
  <c r="BO349" i="1"/>
  <c r="BW349" i="1" s="1"/>
  <c r="BN349" i="1"/>
  <c r="BV349" i="1" s="1"/>
  <c r="BM349" i="1"/>
  <c r="CA348" i="1"/>
  <c r="BQ348" i="1"/>
  <c r="BY348" i="1" s="1"/>
  <c r="BP348" i="1"/>
  <c r="BX348" i="1" s="1"/>
  <c r="BO348" i="1"/>
  <c r="BW348" i="1" s="1"/>
  <c r="BN348" i="1"/>
  <c r="BV348" i="1" s="1"/>
  <c r="BM348" i="1"/>
  <c r="BU348" i="1" s="1"/>
  <c r="CA347" i="1"/>
  <c r="BQ347" i="1"/>
  <c r="BY347" i="1" s="1"/>
  <c r="BP347" i="1"/>
  <c r="BX347" i="1" s="1"/>
  <c r="BO347" i="1"/>
  <c r="BW347" i="1" s="1"/>
  <c r="BN347" i="1"/>
  <c r="BV347" i="1" s="1"/>
  <c r="BM347" i="1"/>
  <c r="CA346" i="1"/>
  <c r="BQ346" i="1"/>
  <c r="BY346" i="1" s="1"/>
  <c r="BP346" i="1"/>
  <c r="BX346" i="1" s="1"/>
  <c r="BO346" i="1"/>
  <c r="BW346" i="1" s="1"/>
  <c r="BN346" i="1"/>
  <c r="BV346" i="1" s="1"/>
  <c r="BM346" i="1"/>
  <c r="CA344" i="1"/>
  <c r="BQ344" i="1"/>
  <c r="BY344" i="1" s="1"/>
  <c r="BP344" i="1"/>
  <c r="BX344" i="1" s="1"/>
  <c r="BO344" i="1"/>
  <c r="BW344" i="1" s="1"/>
  <c r="BN344" i="1"/>
  <c r="BV344" i="1" s="1"/>
  <c r="BM344" i="1"/>
  <c r="BU344" i="1" s="1"/>
  <c r="CA343" i="1"/>
  <c r="BQ343" i="1"/>
  <c r="BY343" i="1" s="1"/>
  <c r="BP343" i="1"/>
  <c r="BX343" i="1" s="1"/>
  <c r="BO343" i="1"/>
  <c r="BW343" i="1" s="1"/>
  <c r="BN343" i="1"/>
  <c r="BV343" i="1" s="1"/>
  <c r="BM343" i="1"/>
  <c r="CA342" i="1"/>
  <c r="BQ342" i="1"/>
  <c r="BY342" i="1" s="1"/>
  <c r="BP342" i="1"/>
  <c r="BX342" i="1" s="1"/>
  <c r="BO342" i="1"/>
  <c r="BW342" i="1" s="1"/>
  <c r="BN342" i="1"/>
  <c r="BV342" i="1" s="1"/>
  <c r="BM342" i="1"/>
  <c r="CA341" i="1"/>
  <c r="BQ341" i="1"/>
  <c r="BY341" i="1" s="1"/>
  <c r="BP341" i="1"/>
  <c r="BX341" i="1" s="1"/>
  <c r="BO341" i="1"/>
  <c r="BW341" i="1" s="1"/>
  <c r="BN341" i="1"/>
  <c r="BV341" i="1" s="1"/>
  <c r="BM341" i="1"/>
  <c r="BU341" i="1" s="1"/>
  <c r="CA340" i="1"/>
  <c r="BQ340" i="1"/>
  <c r="BY340" i="1" s="1"/>
  <c r="BP340" i="1"/>
  <c r="BX340" i="1" s="1"/>
  <c r="BO340" i="1"/>
  <c r="BW340" i="1" s="1"/>
  <c r="BN340" i="1"/>
  <c r="BV340" i="1" s="1"/>
  <c r="BM340" i="1"/>
  <c r="BU340" i="1" s="1"/>
  <c r="CA339" i="1"/>
  <c r="BQ339" i="1"/>
  <c r="BY339" i="1" s="1"/>
  <c r="BP339" i="1"/>
  <c r="BX339" i="1" s="1"/>
  <c r="BO339" i="1"/>
  <c r="BW339" i="1" s="1"/>
  <c r="BN339" i="1"/>
  <c r="BV339" i="1" s="1"/>
  <c r="BM339" i="1"/>
  <c r="CA337" i="1"/>
  <c r="BQ337" i="1"/>
  <c r="BY337" i="1" s="1"/>
  <c r="BP337" i="1"/>
  <c r="BX337" i="1" s="1"/>
  <c r="BO337" i="1"/>
  <c r="BW337" i="1" s="1"/>
  <c r="BN337" i="1"/>
  <c r="BV337" i="1" s="1"/>
  <c r="BM337" i="1"/>
  <c r="CA336" i="1"/>
  <c r="BQ336" i="1"/>
  <c r="BY336" i="1" s="1"/>
  <c r="BP336" i="1"/>
  <c r="BX336" i="1" s="1"/>
  <c r="BO336" i="1"/>
  <c r="BW336" i="1" s="1"/>
  <c r="BN336" i="1"/>
  <c r="BV336" i="1" s="1"/>
  <c r="BM336" i="1"/>
  <c r="CA335" i="1"/>
  <c r="BQ335" i="1"/>
  <c r="BY335" i="1" s="1"/>
  <c r="BP335" i="1"/>
  <c r="BX335" i="1" s="1"/>
  <c r="BO335" i="1"/>
  <c r="BW335" i="1" s="1"/>
  <c r="BN335" i="1"/>
  <c r="BV335" i="1" s="1"/>
  <c r="BM335" i="1"/>
  <c r="CA334" i="1"/>
  <c r="BQ334" i="1"/>
  <c r="BY334" i="1" s="1"/>
  <c r="BP334" i="1"/>
  <c r="BX334" i="1" s="1"/>
  <c r="BO334" i="1"/>
  <c r="BW334" i="1" s="1"/>
  <c r="BN334" i="1"/>
  <c r="BV334" i="1" s="1"/>
  <c r="BM334" i="1"/>
  <c r="CA332" i="1"/>
  <c r="BQ332" i="1"/>
  <c r="BY332" i="1" s="1"/>
  <c r="BP332" i="1"/>
  <c r="BX332" i="1" s="1"/>
  <c r="BO332" i="1"/>
  <c r="BW332" i="1" s="1"/>
  <c r="BN332" i="1"/>
  <c r="BV332" i="1" s="1"/>
  <c r="BM332" i="1"/>
  <c r="CA331" i="1"/>
  <c r="BQ331" i="1"/>
  <c r="BY331" i="1" s="1"/>
  <c r="BP331" i="1"/>
  <c r="BX331" i="1" s="1"/>
  <c r="BO331" i="1"/>
  <c r="BW331" i="1" s="1"/>
  <c r="BN331" i="1"/>
  <c r="BV331" i="1" s="1"/>
  <c r="BM331" i="1"/>
  <c r="CA330" i="1"/>
  <c r="BQ330" i="1"/>
  <c r="BY330" i="1" s="1"/>
  <c r="BP330" i="1"/>
  <c r="BX330" i="1" s="1"/>
  <c r="BO330" i="1"/>
  <c r="BW330" i="1" s="1"/>
  <c r="BN330" i="1"/>
  <c r="BV330" i="1" s="1"/>
  <c r="BM330" i="1"/>
  <c r="CA328" i="1"/>
  <c r="BQ328" i="1"/>
  <c r="BY328" i="1" s="1"/>
  <c r="BP328" i="1"/>
  <c r="BX328" i="1" s="1"/>
  <c r="BO328" i="1"/>
  <c r="BW328" i="1" s="1"/>
  <c r="BN328" i="1"/>
  <c r="BV328" i="1" s="1"/>
  <c r="BM328" i="1"/>
  <c r="CA327" i="1"/>
  <c r="BQ327" i="1"/>
  <c r="BY327" i="1" s="1"/>
  <c r="BP327" i="1"/>
  <c r="BX327" i="1" s="1"/>
  <c r="BO327" i="1"/>
  <c r="BW327" i="1" s="1"/>
  <c r="BN327" i="1"/>
  <c r="BV327" i="1" s="1"/>
  <c r="BM327" i="1"/>
  <c r="CA326" i="1"/>
  <c r="BQ326" i="1"/>
  <c r="BY326" i="1" s="1"/>
  <c r="BP326" i="1"/>
  <c r="BX326" i="1" s="1"/>
  <c r="BO326" i="1"/>
  <c r="BW326" i="1" s="1"/>
  <c r="BN326" i="1"/>
  <c r="BV326" i="1" s="1"/>
  <c r="BM326" i="1"/>
  <c r="CA325" i="1"/>
  <c r="BQ325" i="1"/>
  <c r="BY325" i="1" s="1"/>
  <c r="BP325" i="1"/>
  <c r="BX325" i="1" s="1"/>
  <c r="BO325" i="1"/>
  <c r="BW325" i="1" s="1"/>
  <c r="BN325" i="1"/>
  <c r="BV325" i="1" s="1"/>
  <c r="BM325" i="1"/>
  <c r="CA323" i="1"/>
  <c r="BQ323" i="1"/>
  <c r="BY323" i="1" s="1"/>
  <c r="BP323" i="1"/>
  <c r="BX323" i="1" s="1"/>
  <c r="BO323" i="1"/>
  <c r="BW323" i="1" s="1"/>
  <c r="BN323" i="1"/>
  <c r="BV323" i="1" s="1"/>
  <c r="BM323" i="1"/>
  <c r="CA322" i="1"/>
  <c r="BQ322" i="1"/>
  <c r="BY322" i="1" s="1"/>
  <c r="BP322" i="1"/>
  <c r="BX322" i="1" s="1"/>
  <c r="BO322" i="1"/>
  <c r="BW322" i="1" s="1"/>
  <c r="BN322" i="1"/>
  <c r="BV322" i="1" s="1"/>
  <c r="BM322" i="1"/>
  <c r="BU322" i="1" s="1"/>
  <c r="CA320" i="1"/>
  <c r="BQ320" i="1"/>
  <c r="BY320" i="1" s="1"/>
  <c r="BP320" i="1"/>
  <c r="BX320" i="1" s="1"/>
  <c r="BO320" i="1"/>
  <c r="BW320" i="1" s="1"/>
  <c r="BN320" i="1"/>
  <c r="BV320" i="1" s="1"/>
  <c r="BM320" i="1"/>
  <c r="BU320" i="1" s="1"/>
  <c r="CA319" i="1"/>
  <c r="BQ319" i="1"/>
  <c r="BY319" i="1" s="1"/>
  <c r="BP319" i="1"/>
  <c r="BX319" i="1" s="1"/>
  <c r="BO319" i="1"/>
  <c r="BW319" i="1" s="1"/>
  <c r="BN319" i="1"/>
  <c r="BV319" i="1" s="1"/>
  <c r="BM319" i="1"/>
  <c r="CA318" i="1"/>
  <c r="BQ318" i="1"/>
  <c r="BY318" i="1" s="1"/>
  <c r="BP318" i="1"/>
  <c r="BX318" i="1" s="1"/>
  <c r="BO318" i="1"/>
  <c r="BW318" i="1" s="1"/>
  <c r="BN318" i="1"/>
  <c r="BV318" i="1" s="1"/>
  <c r="BM318" i="1"/>
  <c r="CA317" i="1"/>
  <c r="BQ317" i="1"/>
  <c r="BY317" i="1" s="1"/>
  <c r="BP317" i="1"/>
  <c r="BX317" i="1" s="1"/>
  <c r="BO317" i="1"/>
  <c r="BW317" i="1" s="1"/>
  <c r="BN317" i="1"/>
  <c r="BV317" i="1" s="1"/>
  <c r="BM317" i="1"/>
  <c r="CA316" i="1"/>
  <c r="BQ316" i="1"/>
  <c r="BY316" i="1" s="1"/>
  <c r="BP316" i="1"/>
  <c r="BX316" i="1" s="1"/>
  <c r="BO316" i="1"/>
  <c r="BW316" i="1" s="1"/>
  <c r="BN316" i="1"/>
  <c r="BV316" i="1" s="1"/>
  <c r="BM316" i="1"/>
  <c r="BU316" i="1" s="1"/>
  <c r="CA315" i="1"/>
  <c r="BQ315" i="1"/>
  <c r="BY315" i="1" s="1"/>
  <c r="BP315" i="1"/>
  <c r="BX315" i="1" s="1"/>
  <c r="BO315" i="1"/>
  <c r="BW315" i="1" s="1"/>
  <c r="BN315" i="1"/>
  <c r="BV315" i="1" s="1"/>
  <c r="BM315" i="1"/>
  <c r="CA314" i="1"/>
  <c r="BQ314" i="1"/>
  <c r="BY314" i="1" s="1"/>
  <c r="BP314" i="1"/>
  <c r="BX314" i="1" s="1"/>
  <c r="BO314" i="1"/>
  <c r="BW314" i="1" s="1"/>
  <c r="BN314" i="1"/>
  <c r="BV314" i="1" s="1"/>
  <c r="BM314" i="1"/>
  <c r="CA313" i="1"/>
  <c r="BQ313" i="1"/>
  <c r="BY313" i="1" s="1"/>
  <c r="BP313" i="1"/>
  <c r="BX313" i="1" s="1"/>
  <c r="BO313" i="1"/>
  <c r="BW313" i="1" s="1"/>
  <c r="BN313" i="1"/>
  <c r="BV313" i="1" s="1"/>
  <c r="BM313" i="1"/>
  <c r="CA312" i="1"/>
  <c r="BQ312" i="1"/>
  <c r="BY312" i="1" s="1"/>
  <c r="BP312" i="1"/>
  <c r="BX312" i="1" s="1"/>
  <c r="BO312" i="1"/>
  <c r="BW312" i="1" s="1"/>
  <c r="BN312" i="1"/>
  <c r="BV312" i="1" s="1"/>
  <c r="BM312" i="1"/>
  <c r="CA311" i="1"/>
  <c r="BQ311" i="1"/>
  <c r="BY311" i="1" s="1"/>
  <c r="BP311" i="1"/>
  <c r="BX311" i="1" s="1"/>
  <c r="BO311" i="1"/>
  <c r="BW311" i="1" s="1"/>
  <c r="BN311" i="1"/>
  <c r="BV311" i="1" s="1"/>
  <c r="BM311" i="1"/>
  <c r="CA310" i="1"/>
  <c r="BQ310" i="1"/>
  <c r="BY310" i="1" s="1"/>
  <c r="BP310" i="1"/>
  <c r="BX310" i="1" s="1"/>
  <c r="BO310" i="1"/>
  <c r="BW310" i="1" s="1"/>
  <c r="BN310" i="1"/>
  <c r="BV310" i="1" s="1"/>
  <c r="BM310" i="1"/>
  <c r="BU310" i="1" s="1"/>
  <c r="CA308" i="1"/>
  <c r="BQ308" i="1"/>
  <c r="BY308" i="1" s="1"/>
  <c r="BP308" i="1"/>
  <c r="BX308" i="1" s="1"/>
  <c r="BO308" i="1"/>
  <c r="BW308" i="1" s="1"/>
  <c r="BN308" i="1"/>
  <c r="BV308" i="1" s="1"/>
  <c r="BM308" i="1"/>
  <c r="CA307" i="1"/>
  <c r="BQ307" i="1"/>
  <c r="BY307" i="1" s="1"/>
  <c r="BP307" i="1"/>
  <c r="BX307" i="1" s="1"/>
  <c r="BO307" i="1"/>
  <c r="BW307" i="1" s="1"/>
  <c r="BN307" i="1"/>
  <c r="BV307" i="1" s="1"/>
  <c r="BM307" i="1"/>
  <c r="CA306" i="1"/>
  <c r="BQ306" i="1"/>
  <c r="BY306" i="1" s="1"/>
  <c r="BP306" i="1"/>
  <c r="BX306" i="1" s="1"/>
  <c r="BO306" i="1"/>
  <c r="BW306" i="1" s="1"/>
  <c r="BN306" i="1"/>
  <c r="BV306" i="1" s="1"/>
  <c r="BM306" i="1"/>
  <c r="CA304" i="1"/>
  <c r="BQ304" i="1"/>
  <c r="BY304" i="1" s="1"/>
  <c r="BP304" i="1"/>
  <c r="BX304" i="1" s="1"/>
  <c r="BO304" i="1"/>
  <c r="BW304" i="1" s="1"/>
  <c r="BN304" i="1"/>
  <c r="BV304" i="1" s="1"/>
  <c r="BM304" i="1"/>
  <c r="CA303" i="1"/>
  <c r="BQ303" i="1"/>
  <c r="BY303" i="1" s="1"/>
  <c r="BP303" i="1"/>
  <c r="BX303" i="1" s="1"/>
  <c r="BO303" i="1"/>
  <c r="BW303" i="1" s="1"/>
  <c r="BN303" i="1"/>
  <c r="BV303" i="1" s="1"/>
  <c r="BM303" i="1"/>
  <c r="BU303" i="1" s="1"/>
  <c r="CA302" i="1"/>
  <c r="BQ302" i="1"/>
  <c r="BY302" i="1" s="1"/>
  <c r="BP302" i="1"/>
  <c r="BX302" i="1" s="1"/>
  <c r="BO302" i="1"/>
  <c r="BW302" i="1" s="1"/>
  <c r="BN302" i="1"/>
  <c r="BV302" i="1" s="1"/>
  <c r="BM302" i="1"/>
  <c r="CA301" i="1"/>
  <c r="BQ301" i="1"/>
  <c r="BY301" i="1" s="1"/>
  <c r="BP301" i="1"/>
  <c r="BX301" i="1" s="1"/>
  <c r="BO301" i="1"/>
  <c r="BW301" i="1" s="1"/>
  <c r="BN301" i="1"/>
  <c r="BV301" i="1" s="1"/>
  <c r="BM301" i="1"/>
  <c r="CA299" i="1"/>
  <c r="BQ299" i="1"/>
  <c r="BY299" i="1" s="1"/>
  <c r="BP299" i="1"/>
  <c r="BX299" i="1" s="1"/>
  <c r="BO299" i="1"/>
  <c r="BW299" i="1" s="1"/>
  <c r="BN299" i="1"/>
  <c r="BV299" i="1" s="1"/>
  <c r="BM299" i="1"/>
  <c r="BU299" i="1" s="1"/>
  <c r="CA298" i="1"/>
  <c r="BQ298" i="1"/>
  <c r="BY298" i="1" s="1"/>
  <c r="BP298" i="1"/>
  <c r="BX298" i="1" s="1"/>
  <c r="BO298" i="1"/>
  <c r="BW298" i="1" s="1"/>
  <c r="BN298" i="1"/>
  <c r="BV298" i="1" s="1"/>
  <c r="BM298" i="1"/>
  <c r="CA297" i="1"/>
  <c r="BQ297" i="1"/>
  <c r="BY297" i="1" s="1"/>
  <c r="BP297" i="1"/>
  <c r="BX297" i="1" s="1"/>
  <c r="BO297" i="1"/>
  <c r="BW297" i="1" s="1"/>
  <c r="BN297" i="1"/>
  <c r="BV297" i="1" s="1"/>
  <c r="BM297" i="1"/>
  <c r="CA296" i="1"/>
  <c r="BQ296" i="1"/>
  <c r="BY296" i="1" s="1"/>
  <c r="BP296" i="1"/>
  <c r="BX296" i="1" s="1"/>
  <c r="BO296" i="1"/>
  <c r="BW296" i="1" s="1"/>
  <c r="BN296" i="1"/>
  <c r="BV296" i="1" s="1"/>
  <c r="BM296" i="1"/>
  <c r="CA295" i="1"/>
  <c r="BQ295" i="1"/>
  <c r="BY295" i="1" s="1"/>
  <c r="BP295" i="1"/>
  <c r="BX295" i="1" s="1"/>
  <c r="BO295" i="1"/>
  <c r="BW295" i="1" s="1"/>
  <c r="BN295" i="1"/>
  <c r="BV295" i="1" s="1"/>
  <c r="BM295" i="1"/>
  <c r="CA294" i="1"/>
  <c r="BQ294" i="1"/>
  <c r="BY294" i="1" s="1"/>
  <c r="BP294" i="1"/>
  <c r="BX294" i="1" s="1"/>
  <c r="BO294" i="1"/>
  <c r="BW294" i="1" s="1"/>
  <c r="BN294" i="1"/>
  <c r="BV294" i="1" s="1"/>
  <c r="BM294" i="1"/>
  <c r="CA293" i="1"/>
  <c r="BQ293" i="1"/>
  <c r="BY293" i="1" s="1"/>
  <c r="BP293" i="1"/>
  <c r="BX293" i="1" s="1"/>
  <c r="BO293" i="1"/>
  <c r="BW293" i="1" s="1"/>
  <c r="BN293" i="1"/>
  <c r="BV293" i="1" s="1"/>
  <c r="BM293" i="1"/>
  <c r="CA292" i="1"/>
  <c r="BQ292" i="1"/>
  <c r="BY292" i="1" s="1"/>
  <c r="BP292" i="1"/>
  <c r="BX292" i="1" s="1"/>
  <c r="BO292" i="1"/>
  <c r="BW292" i="1" s="1"/>
  <c r="BN292" i="1"/>
  <c r="BV292" i="1" s="1"/>
  <c r="BM292" i="1"/>
  <c r="CA291" i="1"/>
  <c r="BQ291" i="1"/>
  <c r="BY291" i="1" s="1"/>
  <c r="BP291" i="1"/>
  <c r="BX291" i="1" s="1"/>
  <c r="BO291" i="1"/>
  <c r="BW291" i="1" s="1"/>
  <c r="BN291" i="1"/>
  <c r="BV291" i="1" s="1"/>
  <c r="BM291" i="1"/>
  <c r="BU291" i="1" s="1"/>
  <c r="CA289" i="1"/>
  <c r="BQ289" i="1"/>
  <c r="BY289" i="1" s="1"/>
  <c r="BP289" i="1"/>
  <c r="BX289" i="1" s="1"/>
  <c r="BO289" i="1"/>
  <c r="BW289" i="1" s="1"/>
  <c r="BN289" i="1"/>
  <c r="BV289" i="1" s="1"/>
  <c r="BM289" i="1"/>
  <c r="CA288" i="1"/>
  <c r="BQ288" i="1"/>
  <c r="BY288" i="1" s="1"/>
  <c r="BP288" i="1"/>
  <c r="BX288" i="1" s="1"/>
  <c r="BO288" i="1"/>
  <c r="BW288" i="1" s="1"/>
  <c r="BN288" i="1"/>
  <c r="BV288" i="1" s="1"/>
  <c r="BM288" i="1"/>
  <c r="CA287" i="1"/>
  <c r="BQ287" i="1"/>
  <c r="BY287" i="1" s="1"/>
  <c r="BP287" i="1"/>
  <c r="BX287" i="1" s="1"/>
  <c r="BO287" i="1"/>
  <c r="BW287" i="1" s="1"/>
  <c r="BN287" i="1"/>
  <c r="BV287" i="1" s="1"/>
  <c r="BM287" i="1"/>
  <c r="BU287" i="1" s="1"/>
  <c r="CA286" i="1"/>
  <c r="BQ286" i="1"/>
  <c r="BY286" i="1" s="1"/>
  <c r="BP286" i="1"/>
  <c r="BX286" i="1" s="1"/>
  <c r="BO286" i="1"/>
  <c r="BW286" i="1" s="1"/>
  <c r="BN286" i="1"/>
  <c r="BV286" i="1" s="1"/>
  <c r="BM286" i="1"/>
  <c r="CA285" i="1"/>
  <c r="BQ285" i="1"/>
  <c r="BY285" i="1" s="1"/>
  <c r="BP285" i="1"/>
  <c r="BX285" i="1" s="1"/>
  <c r="BO285" i="1"/>
  <c r="BW285" i="1" s="1"/>
  <c r="BN285" i="1"/>
  <c r="BV285" i="1" s="1"/>
  <c r="BM285" i="1"/>
  <c r="CA283" i="1"/>
  <c r="BQ283" i="1"/>
  <c r="BY283" i="1" s="1"/>
  <c r="BP283" i="1"/>
  <c r="BX283" i="1" s="1"/>
  <c r="BO283" i="1"/>
  <c r="BW283" i="1" s="1"/>
  <c r="BN283" i="1"/>
  <c r="BV283" i="1" s="1"/>
  <c r="BM283" i="1"/>
  <c r="BU283" i="1" s="1"/>
  <c r="CA282" i="1"/>
  <c r="BQ282" i="1"/>
  <c r="BY282" i="1" s="1"/>
  <c r="BP282" i="1"/>
  <c r="BX282" i="1" s="1"/>
  <c r="BO282" i="1"/>
  <c r="BW282" i="1" s="1"/>
  <c r="BN282" i="1"/>
  <c r="BV282" i="1" s="1"/>
  <c r="BM282" i="1"/>
  <c r="BU282" i="1" s="1"/>
  <c r="CA281" i="1"/>
  <c r="BQ281" i="1"/>
  <c r="BY281" i="1" s="1"/>
  <c r="BP281" i="1"/>
  <c r="BX281" i="1" s="1"/>
  <c r="BO281" i="1"/>
  <c r="BW281" i="1" s="1"/>
  <c r="BN281" i="1"/>
  <c r="BV281" i="1" s="1"/>
  <c r="BM281" i="1"/>
  <c r="CA280" i="1"/>
  <c r="BQ280" i="1"/>
  <c r="BY280" i="1" s="1"/>
  <c r="BP280" i="1"/>
  <c r="BX280" i="1" s="1"/>
  <c r="BO280" i="1"/>
  <c r="BW280" i="1" s="1"/>
  <c r="BN280" i="1"/>
  <c r="BV280" i="1" s="1"/>
  <c r="BM280" i="1"/>
  <c r="CA279" i="1"/>
  <c r="BQ279" i="1"/>
  <c r="BY279" i="1" s="1"/>
  <c r="BP279" i="1"/>
  <c r="BX279" i="1" s="1"/>
  <c r="BO279" i="1"/>
  <c r="BW279" i="1" s="1"/>
  <c r="BN279" i="1"/>
  <c r="BV279" i="1" s="1"/>
  <c r="BM279" i="1"/>
  <c r="BU279" i="1" s="1"/>
  <c r="CA277" i="1"/>
  <c r="BQ277" i="1"/>
  <c r="BY277" i="1" s="1"/>
  <c r="BP277" i="1"/>
  <c r="BX277" i="1" s="1"/>
  <c r="BO277" i="1"/>
  <c r="BW277" i="1" s="1"/>
  <c r="BN277" i="1"/>
  <c r="BV277" i="1" s="1"/>
  <c r="BM277" i="1"/>
  <c r="CA276" i="1"/>
  <c r="BQ276" i="1"/>
  <c r="BY276" i="1" s="1"/>
  <c r="BP276" i="1"/>
  <c r="BX276" i="1" s="1"/>
  <c r="BO276" i="1"/>
  <c r="BW276" i="1" s="1"/>
  <c r="BN276" i="1"/>
  <c r="BV276" i="1" s="1"/>
  <c r="BM276" i="1"/>
  <c r="CA275" i="1"/>
  <c r="BQ275" i="1"/>
  <c r="BY275" i="1" s="1"/>
  <c r="BP275" i="1"/>
  <c r="BX275" i="1" s="1"/>
  <c r="BO275" i="1"/>
  <c r="BW275" i="1" s="1"/>
  <c r="BN275" i="1"/>
  <c r="BV275" i="1" s="1"/>
  <c r="BM275" i="1"/>
  <c r="CA274" i="1"/>
  <c r="BQ274" i="1"/>
  <c r="BY274" i="1" s="1"/>
  <c r="BP274" i="1"/>
  <c r="BX274" i="1" s="1"/>
  <c r="BO274" i="1"/>
  <c r="BW274" i="1" s="1"/>
  <c r="BN274" i="1"/>
  <c r="BV274" i="1" s="1"/>
  <c r="BM274" i="1"/>
  <c r="CA272" i="1"/>
  <c r="BQ272" i="1"/>
  <c r="BY272" i="1" s="1"/>
  <c r="BP272" i="1"/>
  <c r="BX272" i="1" s="1"/>
  <c r="BO272" i="1"/>
  <c r="BW272" i="1" s="1"/>
  <c r="BN272" i="1"/>
  <c r="BV272" i="1" s="1"/>
  <c r="BM272" i="1"/>
  <c r="CA271" i="1"/>
  <c r="BQ271" i="1"/>
  <c r="BY271" i="1" s="1"/>
  <c r="BP271" i="1"/>
  <c r="BX271" i="1" s="1"/>
  <c r="BO271" i="1"/>
  <c r="BW271" i="1" s="1"/>
  <c r="BN271" i="1"/>
  <c r="BV271" i="1" s="1"/>
  <c r="BM271" i="1"/>
  <c r="CA270" i="1"/>
  <c r="BQ270" i="1"/>
  <c r="BY270" i="1" s="1"/>
  <c r="BP270" i="1"/>
  <c r="BX270" i="1" s="1"/>
  <c r="BO270" i="1"/>
  <c r="BW270" i="1" s="1"/>
  <c r="BN270" i="1"/>
  <c r="BV270" i="1" s="1"/>
  <c r="BM270" i="1"/>
  <c r="BU270" i="1" s="1"/>
  <c r="CA269" i="1"/>
  <c r="BQ269" i="1"/>
  <c r="BY269" i="1" s="1"/>
  <c r="BP269" i="1"/>
  <c r="BX269" i="1" s="1"/>
  <c r="BO269" i="1"/>
  <c r="BW269" i="1" s="1"/>
  <c r="BN269" i="1"/>
  <c r="BV269" i="1" s="1"/>
  <c r="BM269" i="1"/>
  <c r="CA268" i="1"/>
  <c r="BQ268" i="1"/>
  <c r="BY268" i="1" s="1"/>
  <c r="BP268" i="1"/>
  <c r="BX268" i="1" s="1"/>
  <c r="BO268" i="1"/>
  <c r="BW268" i="1" s="1"/>
  <c r="BN268" i="1"/>
  <c r="BV268" i="1" s="1"/>
  <c r="BM268" i="1"/>
  <c r="CA267" i="1"/>
  <c r="BQ267" i="1"/>
  <c r="BY267" i="1" s="1"/>
  <c r="BP267" i="1"/>
  <c r="BX267" i="1" s="1"/>
  <c r="BO267" i="1"/>
  <c r="BW267" i="1" s="1"/>
  <c r="BN267" i="1"/>
  <c r="BV267" i="1" s="1"/>
  <c r="BM267" i="1"/>
  <c r="CA265" i="1"/>
  <c r="BQ265" i="1"/>
  <c r="BY265" i="1" s="1"/>
  <c r="BP265" i="1"/>
  <c r="BX265" i="1" s="1"/>
  <c r="BO265" i="1"/>
  <c r="BW265" i="1" s="1"/>
  <c r="BN265" i="1"/>
  <c r="BV265" i="1" s="1"/>
  <c r="BM265" i="1"/>
  <c r="CA264" i="1"/>
  <c r="BQ264" i="1"/>
  <c r="BY264" i="1" s="1"/>
  <c r="BP264" i="1"/>
  <c r="BX264" i="1" s="1"/>
  <c r="BO264" i="1"/>
  <c r="BW264" i="1" s="1"/>
  <c r="BN264" i="1"/>
  <c r="BV264" i="1" s="1"/>
  <c r="BM264" i="1"/>
  <c r="CA263" i="1"/>
  <c r="BQ263" i="1"/>
  <c r="BY263" i="1" s="1"/>
  <c r="BP263" i="1"/>
  <c r="BX263" i="1" s="1"/>
  <c r="BO263" i="1"/>
  <c r="BW263" i="1" s="1"/>
  <c r="BN263" i="1"/>
  <c r="BV263" i="1" s="1"/>
  <c r="BM263" i="1"/>
  <c r="CA262" i="1"/>
  <c r="BQ262" i="1"/>
  <c r="BY262" i="1" s="1"/>
  <c r="BP262" i="1"/>
  <c r="BX262" i="1" s="1"/>
  <c r="BO262" i="1"/>
  <c r="BW262" i="1" s="1"/>
  <c r="BN262" i="1"/>
  <c r="BV262" i="1" s="1"/>
  <c r="BM262" i="1"/>
  <c r="BU262" i="1" s="1"/>
  <c r="CA260" i="1"/>
  <c r="BQ260" i="1"/>
  <c r="BY260" i="1" s="1"/>
  <c r="BP260" i="1"/>
  <c r="BX260" i="1" s="1"/>
  <c r="BO260" i="1"/>
  <c r="BW260" i="1" s="1"/>
  <c r="BN260" i="1"/>
  <c r="BV260" i="1" s="1"/>
  <c r="BM260" i="1"/>
  <c r="CA259" i="1"/>
  <c r="BQ259" i="1"/>
  <c r="BY259" i="1" s="1"/>
  <c r="BP259" i="1"/>
  <c r="BX259" i="1" s="1"/>
  <c r="BO259" i="1"/>
  <c r="BW259" i="1" s="1"/>
  <c r="BN259" i="1"/>
  <c r="BV259" i="1" s="1"/>
  <c r="BM259" i="1"/>
  <c r="CA258" i="1"/>
  <c r="BQ258" i="1"/>
  <c r="BY258" i="1" s="1"/>
  <c r="BP258" i="1"/>
  <c r="BX258" i="1" s="1"/>
  <c r="BO258" i="1"/>
  <c r="BW258" i="1" s="1"/>
  <c r="BN258" i="1"/>
  <c r="BV258" i="1" s="1"/>
  <c r="BM258" i="1"/>
  <c r="CA257" i="1"/>
  <c r="BQ257" i="1"/>
  <c r="BY257" i="1" s="1"/>
  <c r="BP257" i="1"/>
  <c r="BX257" i="1" s="1"/>
  <c r="BO257" i="1"/>
  <c r="BW257" i="1" s="1"/>
  <c r="BN257" i="1"/>
  <c r="BV257" i="1" s="1"/>
  <c r="BM257" i="1"/>
  <c r="BU257" i="1" s="1"/>
  <c r="CA256" i="1"/>
  <c r="BQ256" i="1"/>
  <c r="BY256" i="1" s="1"/>
  <c r="BP256" i="1"/>
  <c r="BX256" i="1" s="1"/>
  <c r="BO256" i="1"/>
  <c r="BW256" i="1" s="1"/>
  <c r="BN256" i="1"/>
  <c r="BV256" i="1" s="1"/>
  <c r="BM256" i="1"/>
  <c r="CA254" i="1"/>
  <c r="BQ254" i="1"/>
  <c r="BY254" i="1" s="1"/>
  <c r="BP254" i="1"/>
  <c r="BX254" i="1" s="1"/>
  <c r="BO254" i="1"/>
  <c r="BW254" i="1" s="1"/>
  <c r="BN254" i="1"/>
  <c r="BV254" i="1" s="1"/>
  <c r="BM254" i="1"/>
  <c r="CA253" i="1"/>
  <c r="BQ253" i="1"/>
  <c r="BY253" i="1" s="1"/>
  <c r="BP253" i="1"/>
  <c r="BX253" i="1" s="1"/>
  <c r="BO253" i="1"/>
  <c r="BW253" i="1" s="1"/>
  <c r="BN253" i="1"/>
  <c r="BV253" i="1" s="1"/>
  <c r="BM253" i="1"/>
  <c r="BU253" i="1" s="1"/>
  <c r="CA252" i="1"/>
  <c r="BQ252" i="1"/>
  <c r="BY252" i="1" s="1"/>
  <c r="BP252" i="1"/>
  <c r="BX252" i="1" s="1"/>
  <c r="BO252" i="1"/>
  <c r="BW252" i="1" s="1"/>
  <c r="BN252" i="1"/>
  <c r="BV252" i="1" s="1"/>
  <c r="BM252" i="1"/>
  <c r="CA251" i="1"/>
  <c r="BQ251" i="1"/>
  <c r="BY251" i="1" s="1"/>
  <c r="BP251" i="1"/>
  <c r="BX251" i="1" s="1"/>
  <c r="BO251" i="1"/>
  <c r="BW251" i="1" s="1"/>
  <c r="BN251" i="1"/>
  <c r="BV251" i="1" s="1"/>
  <c r="BM251" i="1"/>
  <c r="CA249" i="1"/>
  <c r="BQ249" i="1"/>
  <c r="BY249" i="1" s="1"/>
  <c r="BP249" i="1"/>
  <c r="BX249" i="1" s="1"/>
  <c r="BO249" i="1"/>
  <c r="BW249" i="1" s="1"/>
  <c r="BN249" i="1"/>
  <c r="BV249" i="1" s="1"/>
  <c r="BM249" i="1"/>
  <c r="BU249" i="1" s="1"/>
  <c r="CA248" i="1"/>
  <c r="BQ248" i="1"/>
  <c r="BY248" i="1" s="1"/>
  <c r="BP248" i="1"/>
  <c r="BX248" i="1" s="1"/>
  <c r="BO248" i="1"/>
  <c r="BW248" i="1" s="1"/>
  <c r="BN248" i="1"/>
  <c r="BV248" i="1" s="1"/>
  <c r="BM248" i="1"/>
  <c r="CA247" i="1"/>
  <c r="BQ247" i="1"/>
  <c r="BY247" i="1" s="1"/>
  <c r="BP247" i="1"/>
  <c r="BX247" i="1" s="1"/>
  <c r="BO247" i="1"/>
  <c r="BW247" i="1" s="1"/>
  <c r="BN247" i="1"/>
  <c r="BV247" i="1" s="1"/>
  <c r="BM247" i="1"/>
  <c r="CA246" i="1"/>
  <c r="BQ246" i="1"/>
  <c r="BY246" i="1" s="1"/>
  <c r="BP246" i="1"/>
  <c r="BX246" i="1" s="1"/>
  <c r="BO246" i="1"/>
  <c r="BW246" i="1" s="1"/>
  <c r="BN246" i="1"/>
  <c r="BV246" i="1" s="1"/>
  <c r="BM246" i="1"/>
  <c r="CA244" i="1"/>
  <c r="BQ244" i="1"/>
  <c r="BY244" i="1" s="1"/>
  <c r="BP244" i="1"/>
  <c r="BX244" i="1" s="1"/>
  <c r="BO244" i="1"/>
  <c r="BW244" i="1" s="1"/>
  <c r="BN244" i="1"/>
  <c r="BV244" i="1" s="1"/>
  <c r="BM244" i="1"/>
  <c r="CA243" i="1"/>
  <c r="BQ243" i="1"/>
  <c r="BY243" i="1" s="1"/>
  <c r="BP243" i="1"/>
  <c r="BX243" i="1" s="1"/>
  <c r="BO243" i="1"/>
  <c r="BW243" i="1" s="1"/>
  <c r="BN243" i="1"/>
  <c r="BV243" i="1" s="1"/>
  <c r="BM243" i="1"/>
  <c r="CA242" i="1"/>
  <c r="BQ242" i="1"/>
  <c r="BY242" i="1" s="1"/>
  <c r="BP242" i="1"/>
  <c r="BX242" i="1" s="1"/>
  <c r="BO242" i="1"/>
  <c r="BW242" i="1" s="1"/>
  <c r="BN242" i="1"/>
  <c r="BV242" i="1" s="1"/>
  <c r="BM242" i="1"/>
  <c r="CA241" i="1"/>
  <c r="BQ241" i="1"/>
  <c r="BY241" i="1" s="1"/>
  <c r="BP241" i="1"/>
  <c r="BX241" i="1" s="1"/>
  <c r="BO241" i="1"/>
  <c r="BW241" i="1" s="1"/>
  <c r="BN241" i="1"/>
  <c r="BV241" i="1" s="1"/>
  <c r="BM241" i="1"/>
  <c r="BU241" i="1" s="1"/>
  <c r="CA240" i="1"/>
  <c r="BQ240" i="1"/>
  <c r="BY240" i="1" s="1"/>
  <c r="BP240" i="1"/>
  <c r="BX240" i="1" s="1"/>
  <c r="BO240" i="1"/>
  <c r="BW240" i="1" s="1"/>
  <c r="BN240" i="1"/>
  <c r="BV240" i="1" s="1"/>
  <c r="BM240" i="1"/>
  <c r="CA238" i="1"/>
  <c r="BQ238" i="1"/>
  <c r="BY238" i="1" s="1"/>
  <c r="BP238" i="1"/>
  <c r="BX238" i="1" s="1"/>
  <c r="BO238" i="1"/>
  <c r="BW238" i="1" s="1"/>
  <c r="BN238" i="1"/>
  <c r="BV238" i="1" s="1"/>
  <c r="BM238" i="1"/>
  <c r="CA237" i="1"/>
  <c r="BQ237" i="1"/>
  <c r="BY237" i="1" s="1"/>
  <c r="BP237" i="1"/>
  <c r="BX237" i="1" s="1"/>
  <c r="BO237" i="1"/>
  <c r="BW237" i="1" s="1"/>
  <c r="BN237" i="1"/>
  <c r="BV237" i="1" s="1"/>
  <c r="BM237" i="1"/>
  <c r="CA236" i="1"/>
  <c r="BQ236" i="1"/>
  <c r="BY236" i="1" s="1"/>
  <c r="BP236" i="1"/>
  <c r="BX236" i="1" s="1"/>
  <c r="BO236" i="1"/>
  <c r="BW236" i="1" s="1"/>
  <c r="BN236" i="1"/>
  <c r="BV236" i="1" s="1"/>
  <c r="BM236" i="1"/>
  <c r="BU236" i="1" s="1"/>
  <c r="CA235" i="1"/>
  <c r="BQ235" i="1"/>
  <c r="BY235" i="1" s="1"/>
  <c r="BP235" i="1"/>
  <c r="BX235" i="1" s="1"/>
  <c r="BO235" i="1"/>
  <c r="BW235" i="1" s="1"/>
  <c r="BN235" i="1"/>
  <c r="BV235" i="1" s="1"/>
  <c r="BM235" i="1"/>
  <c r="CA233" i="1"/>
  <c r="BQ233" i="1"/>
  <c r="BY233" i="1" s="1"/>
  <c r="BP233" i="1"/>
  <c r="BX233" i="1" s="1"/>
  <c r="BO233" i="1"/>
  <c r="BW233" i="1" s="1"/>
  <c r="BN233" i="1"/>
  <c r="BV233" i="1" s="1"/>
  <c r="BM233" i="1"/>
  <c r="CA232" i="1"/>
  <c r="BQ232" i="1"/>
  <c r="BY232" i="1" s="1"/>
  <c r="BP232" i="1"/>
  <c r="BX232" i="1" s="1"/>
  <c r="BO232" i="1"/>
  <c r="BW232" i="1" s="1"/>
  <c r="BN232" i="1"/>
  <c r="BV232" i="1" s="1"/>
  <c r="BM232" i="1"/>
  <c r="CA231" i="1"/>
  <c r="BQ231" i="1"/>
  <c r="BY231" i="1" s="1"/>
  <c r="BP231" i="1"/>
  <c r="BX231" i="1" s="1"/>
  <c r="BO231" i="1"/>
  <c r="BW231" i="1" s="1"/>
  <c r="BN231" i="1"/>
  <c r="BV231" i="1" s="1"/>
  <c r="BM231" i="1"/>
  <c r="BU231" i="1" s="1"/>
  <c r="CA230" i="1"/>
  <c r="BQ230" i="1"/>
  <c r="BY230" i="1" s="1"/>
  <c r="BP230" i="1"/>
  <c r="BX230" i="1" s="1"/>
  <c r="BO230" i="1"/>
  <c r="BW230" i="1" s="1"/>
  <c r="BN230" i="1"/>
  <c r="BV230" i="1" s="1"/>
  <c r="BM230" i="1"/>
  <c r="CA229" i="1"/>
  <c r="BQ229" i="1"/>
  <c r="BY229" i="1" s="1"/>
  <c r="BP229" i="1"/>
  <c r="BX229" i="1" s="1"/>
  <c r="BO229" i="1"/>
  <c r="BW229" i="1" s="1"/>
  <c r="BN229" i="1"/>
  <c r="BV229" i="1" s="1"/>
  <c r="BM229" i="1"/>
  <c r="CA228" i="1"/>
  <c r="BQ228" i="1"/>
  <c r="BY228" i="1" s="1"/>
  <c r="BP228" i="1"/>
  <c r="BX228" i="1" s="1"/>
  <c r="BO228" i="1"/>
  <c r="BW228" i="1" s="1"/>
  <c r="BN228" i="1"/>
  <c r="BV228" i="1" s="1"/>
  <c r="BM228" i="1"/>
  <c r="BU228" i="1" s="1"/>
  <c r="CA226" i="1"/>
  <c r="BQ226" i="1"/>
  <c r="BY226" i="1" s="1"/>
  <c r="BP226" i="1"/>
  <c r="BX226" i="1" s="1"/>
  <c r="BO226" i="1"/>
  <c r="BW226" i="1" s="1"/>
  <c r="BN226" i="1"/>
  <c r="BV226" i="1" s="1"/>
  <c r="BM226" i="1"/>
  <c r="CA225" i="1"/>
  <c r="BQ225" i="1"/>
  <c r="BY225" i="1" s="1"/>
  <c r="BP225" i="1"/>
  <c r="BX225" i="1" s="1"/>
  <c r="BO225" i="1"/>
  <c r="BW225" i="1" s="1"/>
  <c r="BN225" i="1"/>
  <c r="BV225" i="1" s="1"/>
  <c r="BM225" i="1"/>
  <c r="CA224" i="1"/>
  <c r="BQ224" i="1"/>
  <c r="BY224" i="1" s="1"/>
  <c r="BP224" i="1"/>
  <c r="BX224" i="1" s="1"/>
  <c r="BO224" i="1"/>
  <c r="BW224" i="1" s="1"/>
  <c r="BN224" i="1"/>
  <c r="BV224" i="1" s="1"/>
  <c r="BM224" i="1"/>
  <c r="CA223" i="1"/>
  <c r="BQ223" i="1"/>
  <c r="BY223" i="1" s="1"/>
  <c r="BP223" i="1"/>
  <c r="BX223" i="1" s="1"/>
  <c r="BO223" i="1"/>
  <c r="BW223" i="1" s="1"/>
  <c r="BN223" i="1"/>
  <c r="BV223" i="1" s="1"/>
  <c r="BM223" i="1"/>
  <c r="CA222" i="1"/>
  <c r="BQ222" i="1"/>
  <c r="BY222" i="1" s="1"/>
  <c r="BP222" i="1"/>
  <c r="BX222" i="1" s="1"/>
  <c r="BO222" i="1"/>
  <c r="BW222" i="1" s="1"/>
  <c r="BN222" i="1"/>
  <c r="BV222" i="1" s="1"/>
  <c r="BM222" i="1"/>
  <c r="CA221" i="1"/>
  <c r="BQ221" i="1"/>
  <c r="BY221" i="1" s="1"/>
  <c r="BP221" i="1"/>
  <c r="BX221" i="1" s="1"/>
  <c r="BO221" i="1"/>
  <c r="BW221" i="1" s="1"/>
  <c r="BN221" i="1"/>
  <c r="BV221" i="1" s="1"/>
  <c r="BM221" i="1"/>
  <c r="CA220" i="1"/>
  <c r="BQ220" i="1"/>
  <c r="BY220" i="1" s="1"/>
  <c r="BP220" i="1"/>
  <c r="BX220" i="1" s="1"/>
  <c r="BO220" i="1"/>
  <c r="BW220" i="1" s="1"/>
  <c r="BN220" i="1"/>
  <c r="BV220" i="1" s="1"/>
  <c r="BM220" i="1"/>
  <c r="BU220" i="1" s="1"/>
  <c r="CA218" i="1"/>
  <c r="BQ218" i="1"/>
  <c r="BY218" i="1" s="1"/>
  <c r="BP218" i="1"/>
  <c r="BX218" i="1" s="1"/>
  <c r="BO218" i="1"/>
  <c r="BW218" i="1" s="1"/>
  <c r="BN218" i="1"/>
  <c r="BV218" i="1" s="1"/>
  <c r="BM218" i="1"/>
  <c r="CA217" i="1"/>
  <c r="BQ217" i="1"/>
  <c r="BY217" i="1" s="1"/>
  <c r="BP217" i="1"/>
  <c r="BX217" i="1" s="1"/>
  <c r="BO217" i="1"/>
  <c r="BW217" i="1" s="1"/>
  <c r="BN217" i="1"/>
  <c r="BV217" i="1" s="1"/>
  <c r="BM217" i="1"/>
  <c r="CA216" i="1"/>
  <c r="BQ216" i="1"/>
  <c r="BY216" i="1" s="1"/>
  <c r="BP216" i="1"/>
  <c r="BX216" i="1" s="1"/>
  <c r="BO216" i="1"/>
  <c r="BW216" i="1" s="1"/>
  <c r="BN216" i="1"/>
  <c r="BV216" i="1" s="1"/>
  <c r="BM216" i="1"/>
  <c r="CA214" i="1"/>
  <c r="BQ214" i="1"/>
  <c r="BY214" i="1" s="1"/>
  <c r="BP214" i="1"/>
  <c r="BX214" i="1" s="1"/>
  <c r="BO214" i="1"/>
  <c r="BW214" i="1" s="1"/>
  <c r="BN214" i="1"/>
  <c r="BV214" i="1" s="1"/>
  <c r="BM214" i="1"/>
  <c r="CA213" i="1"/>
  <c r="BQ213" i="1"/>
  <c r="BY213" i="1" s="1"/>
  <c r="BP213" i="1"/>
  <c r="BX213" i="1" s="1"/>
  <c r="BO213" i="1"/>
  <c r="BW213" i="1" s="1"/>
  <c r="BN213" i="1"/>
  <c r="BV213" i="1" s="1"/>
  <c r="BM213" i="1"/>
  <c r="CA212" i="1"/>
  <c r="BQ212" i="1"/>
  <c r="BY212" i="1" s="1"/>
  <c r="BP212" i="1"/>
  <c r="BX212" i="1" s="1"/>
  <c r="BO212" i="1"/>
  <c r="BW212" i="1" s="1"/>
  <c r="BN212" i="1"/>
  <c r="BV212" i="1" s="1"/>
  <c r="BM212" i="1"/>
  <c r="CA211" i="1"/>
  <c r="BQ211" i="1"/>
  <c r="BY211" i="1" s="1"/>
  <c r="BP211" i="1"/>
  <c r="BX211" i="1" s="1"/>
  <c r="BO211" i="1"/>
  <c r="BW211" i="1" s="1"/>
  <c r="BN211" i="1"/>
  <c r="BV211" i="1" s="1"/>
  <c r="BM211" i="1"/>
  <c r="CA210" i="1"/>
  <c r="BQ210" i="1"/>
  <c r="BY210" i="1" s="1"/>
  <c r="BP210" i="1"/>
  <c r="BX210" i="1" s="1"/>
  <c r="BO210" i="1"/>
  <c r="BW210" i="1" s="1"/>
  <c r="BN210" i="1"/>
  <c r="BV210" i="1" s="1"/>
  <c r="BM210" i="1"/>
  <c r="CA209" i="1"/>
  <c r="BQ209" i="1"/>
  <c r="BY209" i="1" s="1"/>
  <c r="BP209" i="1"/>
  <c r="BX209" i="1" s="1"/>
  <c r="BO209" i="1"/>
  <c r="BW209" i="1" s="1"/>
  <c r="BN209" i="1"/>
  <c r="BV209" i="1" s="1"/>
  <c r="BM209" i="1"/>
  <c r="CA207" i="1"/>
  <c r="BQ207" i="1"/>
  <c r="BY207" i="1" s="1"/>
  <c r="BP207" i="1"/>
  <c r="BX207" i="1" s="1"/>
  <c r="BO207" i="1"/>
  <c r="BW207" i="1" s="1"/>
  <c r="BN207" i="1"/>
  <c r="BV207" i="1" s="1"/>
  <c r="BM207" i="1"/>
  <c r="CA206" i="1"/>
  <c r="BQ206" i="1"/>
  <c r="BY206" i="1" s="1"/>
  <c r="BP206" i="1"/>
  <c r="BX206" i="1" s="1"/>
  <c r="BO206" i="1"/>
  <c r="BW206" i="1" s="1"/>
  <c r="BN206" i="1"/>
  <c r="BV206" i="1" s="1"/>
  <c r="BM206" i="1"/>
  <c r="CA205" i="1"/>
  <c r="BQ205" i="1"/>
  <c r="BY205" i="1" s="1"/>
  <c r="BP205" i="1"/>
  <c r="BX205" i="1" s="1"/>
  <c r="BO205" i="1"/>
  <c r="BW205" i="1" s="1"/>
  <c r="BN205" i="1"/>
  <c r="BV205" i="1" s="1"/>
  <c r="BM205" i="1"/>
  <c r="CA204" i="1"/>
  <c r="BQ204" i="1"/>
  <c r="BY204" i="1" s="1"/>
  <c r="BP204" i="1"/>
  <c r="BX204" i="1" s="1"/>
  <c r="BO204" i="1"/>
  <c r="BW204" i="1" s="1"/>
  <c r="BN204" i="1"/>
  <c r="BV204" i="1" s="1"/>
  <c r="BM204" i="1"/>
  <c r="CA202" i="1"/>
  <c r="BQ202" i="1"/>
  <c r="BY202" i="1" s="1"/>
  <c r="BP202" i="1"/>
  <c r="BX202" i="1" s="1"/>
  <c r="BO202" i="1"/>
  <c r="BW202" i="1" s="1"/>
  <c r="BN202" i="1"/>
  <c r="BV202" i="1" s="1"/>
  <c r="BM202" i="1"/>
  <c r="CA201" i="1"/>
  <c r="BQ201" i="1"/>
  <c r="BY201" i="1" s="1"/>
  <c r="BP201" i="1"/>
  <c r="BX201" i="1" s="1"/>
  <c r="BO201" i="1"/>
  <c r="BW201" i="1" s="1"/>
  <c r="BN201" i="1"/>
  <c r="BV201" i="1" s="1"/>
  <c r="BM201" i="1"/>
  <c r="BU201" i="1" s="1"/>
  <c r="CA200" i="1"/>
  <c r="BQ200" i="1"/>
  <c r="BY200" i="1" s="1"/>
  <c r="BP200" i="1"/>
  <c r="BX200" i="1" s="1"/>
  <c r="BO200" i="1"/>
  <c r="BW200" i="1" s="1"/>
  <c r="BN200" i="1"/>
  <c r="BV200" i="1" s="1"/>
  <c r="BM200" i="1"/>
  <c r="CA199" i="1"/>
  <c r="BQ199" i="1"/>
  <c r="BY199" i="1" s="1"/>
  <c r="BP199" i="1"/>
  <c r="BX199" i="1" s="1"/>
  <c r="BO199" i="1"/>
  <c r="BW199" i="1" s="1"/>
  <c r="BN199" i="1"/>
  <c r="BV199" i="1" s="1"/>
  <c r="BM199" i="1"/>
  <c r="CA198" i="1"/>
  <c r="BQ198" i="1"/>
  <c r="BY198" i="1" s="1"/>
  <c r="BP198" i="1"/>
  <c r="BX198" i="1" s="1"/>
  <c r="BO198" i="1"/>
  <c r="BW198" i="1" s="1"/>
  <c r="BN198" i="1"/>
  <c r="BV198" i="1" s="1"/>
  <c r="BM198" i="1"/>
  <c r="CA197" i="1"/>
  <c r="BQ197" i="1"/>
  <c r="BY197" i="1" s="1"/>
  <c r="BP197" i="1"/>
  <c r="BX197" i="1" s="1"/>
  <c r="BO197" i="1"/>
  <c r="BW197" i="1" s="1"/>
  <c r="BN197" i="1"/>
  <c r="BV197" i="1" s="1"/>
  <c r="BM197" i="1"/>
  <c r="CA196" i="1"/>
  <c r="BQ196" i="1"/>
  <c r="BY196" i="1" s="1"/>
  <c r="BP196" i="1"/>
  <c r="BX196" i="1" s="1"/>
  <c r="BO196" i="1"/>
  <c r="BW196" i="1" s="1"/>
  <c r="BN196" i="1"/>
  <c r="BV196" i="1" s="1"/>
  <c r="BM196" i="1"/>
  <c r="CA194" i="1"/>
  <c r="BQ194" i="1"/>
  <c r="BY194" i="1" s="1"/>
  <c r="BP194" i="1"/>
  <c r="BX194" i="1" s="1"/>
  <c r="BO194" i="1"/>
  <c r="BW194" i="1" s="1"/>
  <c r="BN194" i="1"/>
  <c r="BV194" i="1" s="1"/>
  <c r="BM194" i="1"/>
  <c r="BU194" i="1" s="1"/>
  <c r="CA193" i="1"/>
  <c r="BQ193" i="1"/>
  <c r="BY193" i="1" s="1"/>
  <c r="BP193" i="1"/>
  <c r="BX193" i="1" s="1"/>
  <c r="BO193" i="1"/>
  <c r="BW193" i="1" s="1"/>
  <c r="BN193" i="1"/>
  <c r="BV193" i="1" s="1"/>
  <c r="BM193" i="1"/>
  <c r="CA192" i="1"/>
  <c r="BQ192" i="1"/>
  <c r="BY192" i="1" s="1"/>
  <c r="BP192" i="1"/>
  <c r="BX192" i="1" s="1"/>
  <c r="BO192" i="1"/>
  <c r="BW192" i="1" s="1"/>
  <c r="BN192" i="1"/>
  <c r="BV192" i="1" s="1"/>
  <c r="BM192" i="1"/>
  <c r="CA191" i="1"/>
  <c r="BQ191" i="1"/>
  <c r="BY191" i="1" s="1"/>
  <c r="BP191" i="1"/>
  <c r="BX191" i="1" s="1"/>
  <c r="BO191" i="1"/>
  <c r="BW191" i="1" s="1"/>
  <c r="BN191" i="1"/>
  <c r="BV191" i="1" s="1"/>
  <c r="BM191" i="1"/>
  <c r="CA190" i="1"/>
  <c r="BQ190" i="1"/>
  <c r="BY190" i="1" s="1"/>
  <c r="BP190" i="1"/>
  <c r="BX190" i="1" s="1"/>
  <c r="BO190" i="1"/>
  <c r="BW190" i="1" s="1"/>
  <c r="BN190" i="1"/>
  <c r="BV190" i="1" s="1"/>
  <c r="BM190" i="1"/>
  <c r="CA189" i="1"/>
  <c r="BQ189" i="1"/>
  <c r="BY189" i="1" s="1"/>
  <c r="BP189" i="1"/>
  <c r="BX189" i="1" s="1"/>
  <c r="BO189" i="1"/>
  <c r="BW189" i="1" s="1"/>
  <c r="BN189" i="1"/>
  <c r="BV189" i="1" s="1"/>
  <c r="BM189" i="1"/>
  <c r="CA188" i="1"/>
  <c r="BQ188" i="1"/>
  <c r="BY188" i="1" s="1"/>
  <c r="BP188" i="1"/>
  <c r="BX188" i="1" s="1"/>
  <c r="BO188" i="1"/>
  <c r="BW188" i="1" s="1"/>
  <c r="BN188" i="1"/>
  <c r="BV188" i="1" s="1"/>
  <c r="BM188" i="1"/>
  <c r="CA185" i="1"/>
  <c r="BQ185" i="1"/>
  <c r="BY185" i="1" s="1"/>
  <c r="BP185" i="1"/>
  <c r="BX185" i="1" s="1"/>
  <c r="BO185" i="1"/>
  <c r="BW185" i="1" s="1"/>
  <c r="BN185" i="1"/>
  <c r="BV185" i="1" s="1"/>
  <c r="BM185" i="1"/>
  <c r="BU185" i="1" s="1"/>
  <c r="CA184" i="1"/>
  <c r="BQ184" i="1"/>
  <c r="BY184" i="1" s="1"/>
  <c r="BP184" i="1"/>
  <c r="BX184" i="1" s="1"/>
  <c r="BO184" i="1"/>
  <c r="BW184" i="1" s="1"/>
  <c r="BN184" i="1"/>
  <c r="BV184" i="1" s="1"/>
  <c r="BM184" i="1"/>
  <c r="BU184" i="1" s="1"/>
  <c r="CA182" i="1"/>
  <c r="BQ182" i="1"/>
  <c r="BY182" i="1" s="1"/>
  <c r="BP182" i="1"/>
  <c r="BX182" i="1" s="1"/>
  <c r="BO182" i="1"/>
  <c r="BW182" i="1" s="1"/>
  <c r="BN182" i="1"/>
  <c r="BV182" i="1" s="1"/>
  <c r="BM182" i="1"/>
  <c r="CA181" i="1"/>
  <c r="BQ181" i="1"/>
  <c r="BY181" i="1" s="1"/>
  <c r="BP181" i="1"/>
  <c r="BX181" i="1" s="1"/>
  <c r="BO181" i="1"/>
  <c r="BW181" i="1" s="1"/>
  <c r="BN181" i="1"/>
  <c r="BV181" i="1" s="1"/>
  <c r="BM181" i="1"/>
  <c r="CA179" i="1"/>
  <c r="BQ179" i="1"/>
  <c r="BY179" i="1" s="1"/>
  <c r="BP179" i="1"/>
  <c r="BX179" i="1" s="1"/>
  <c r="BO179" i="1"/>
  <c r="BW179" i="1" s="1"/>
  <c r="BN179" i="1"/>
  <c r="BV179" i="1" s="1"/>
  <c r="BM179" i="1"/>
  <c r="BU179" i="1" s="1"/>
  <c r="CA178" i="1"/>
  <c r="BQ178" i="1"/>
  <c r="BY178" i="1" s="1"/>
  <c r="BP178" i="1"/>
  <c r="BX178" i="1" s="1"/>
  <c r="BO178" i="1"/>
  <c r="BW178" i="1" s="1"/>
  <c r="BN178" i="1"/>
  <c r="BV178" i="1" s="1"/>
  <c r="BM178" i="1"/>
  <c r="CA176" i="1"/>
  <c r="BQ176" i="1"/>
  <c r="BY176" i="1" s="1"/>
  <c r="BP176" i="1"/>
  <c r="BX176" i="1" s="1"/>
  <c r="BO176" i="1"/>
  <c r="BW176" i="1" s="1"/>
  <c r="BN176" i="1"/>
  <c r="BV176" i="1" s="1"/>
  <c r="BM176" i="1"/>
  <c r="CA175" i="1"/>
  <c r="BQ175" i="1"/>
  <c r="BY175" i="1" s="1"/>
  <c r="BP175" i="1"/>
  <c r="BX175" i="1" s="1"/>
  <c r="BO175" i="1"/>
  <c r="BW175" i="1" s="1"/>
  <c r="BN175" i="1"/>
  <c r="BV175" i="1" s="1"/>
  <c r="BM175" i="1"/>
  <c r="CA173" i="1"/>
  <c r="BQ173" i="1"/>
  <c r="BY173" i="1" s="1"/>
  <c r="BP173" i="1"/>
  <c r="BX173" i="1" s="1"/>
  <c r="BO173" i="1"/>
  <c r="BW173" i="1" s="1"/>
  <c r="BN173" i="1"/>
  <c r="BV173" i="1" s="1"/>
  <c r="BM173" i="1"/>
  <c r="CA172" i="1"/>
  <c r="BQ172" i="1"/>
  <c r="BY172" i="1" s="1"/>
  <c r="BP172" i="1"/>
  <c r="BX172" i="1" s="1"/>
  <c r="BO172" i="1"/>
  <c r="BW172" i="1" s="1"/>
  <c r="BN172" i="1"/>
  <c r="BV172" i="1" s="1"/>
  <c r="BM172" i="1"/>
  <c r="CA170" i="1"/>
  <c r="BQ170" i="1"/>
  <c r="BY170" i="1" s="1"/>
  <c r="BP170" i="1"/>
  <c r="BX170" i="1" s="1"/>
  <c r="BO170" i="1"/>
  <c r="BW170" i="1" s="1"/>
  <c r="BN170" i="1"/>
  <c r="BV170" i="1" s="1"/>
  <c r="BM170" i="1"/>
  <c r="CA169" i="1"/>
  <c r="BQ169" i="1"/>
  <c r="BY169" i="1" s="1"/>
  <c r="BP169" i="1"/>
  <c r="BX169" i="1" s="1"/>
  <c r="BO169" i="1"/>
  <c r="BW169" i="1" s="1"/>
  <c r="BN169" i="1"/>
  <c r="BV169" i="1" s="1"/>
  <c r="BM169" i="1"/>
  <c r="CA167" i="1"/>
  <c r="BQ167" i="1"/>
  <c r="BY167" i="1" s="1"/>
  <c r="BP167" i="1"/>
  <c r="BX167" i="1" s="1"/>
  <c r="BO167" i="1"/>
  <c r="BW167" i="1" s="1"/>
  <c r="BN167" i="1"/>
  <c r="BV167" i="1" s="1"/>
  <c r="BM167" i="1"/>
  <c r="CA166" i="1"/>
  <c r="BQ166" i="1"/>
  <c r="BY166" i="1" s="1"/>
  <c r="BP166" i="1"/>
  <c r="BX166" i="1" s="1"/>
  <c r="BO166" i="1"/>
  <c r="BW166" i="1" s="1"/>
  <c r="BN166" i="1"/>
  <c r="BV166" i="1" s="1"/>
  <c r="BM166" i="1"/>
  <c r="CA164" i="1"/>
  <c r="BQ164" i="1"/>
  <c r="BY164" i="1" s="1"/>
  <c r="BP164" i="1"/>
  <c r="BX164" i="1" s="1"/>
  <c r="BO164" i="1"/>
  <c r="BW164" i="1" s="1"/>
  <c r="BN164" i="1"/>
  <c r="BV164" i="1" s="1"/>
  <c r="BM164" i="1"/>
  <c r="CA163" i="1"/>
  <c r="BQ163" i="1"/>
  <c r="BY163" i="1" s="1"/>
  <c r="BP163" i="1"/>
  <c r="BX163" i="1" s="1"/>
  <c r="BO163" i="1"/>
  <c r="BW163" i="1" s="1"/>
  <c r="BN163" i="1"/>
  <c r="BV163" i="1" s="1"/>
  <c r="BM163" i="1"/>
  <c r="BU163" i="1" s="1"/>
  <c r="CA161" i="1"/>
  <c r="BQ161" i="1"/>
  <c r="BY161" i="1" s="1"/>
  <c r="BP161" i="1"/>
  <c r="BX161" i="1" s="1"/>
  <c r="BO161" i="1"/>
  <c r="BW161" i="1" s="1"/>
  <c r="BN161" i="1"/>
  <c r="BV161" i="1" s="1"/>
  <c r="BM161" i="1"/>
  <c r="CA160" i="1"/>
  <c r="BQ160" i="1"/>
  <c r="BY160" i="1" s="1"/>
  <c r="BP160" i="1"/>
  <c r="BX160" i="1" s="1"/>
  <c r="BO160" i="1"/>
  <c r="BW160" i="1" s="1"/>
  <c r="BN160" i="1"/>
  <c r="BV160" i="1" s="1"/>
  <c r="BM160" i="1"/>
  <c r="CA158" i="1"/>
  <c r="BQ158" i="1"/>
  <c r="BY158" i="1" s="1"/>
  <c r="BP158" i="1"/>
  <c r="BX158" i="1" s="1"/>
  <c r="BO158" i="1"/>
  <c r="BW158" i="1" s="1"/>
  <c r="BN158" i="1"/>
  <c r="BV158" i="1" s="1"/>
  <c r="BM158" i="1"/>
  <c r="CA157" i="1"/>
  <c r="BQ157" i="1"/>
  <c r="BY157" i="1" s="1"/>
  <c r="BP157" i="1"/>
  <c r="BX157" i="1" s="1"/>
  <c r="BO157" i="1"/>
  <c r="BW157" i="1" s="1"/>
  <c r="BN157" i="1"/>
  <c r="BV157" i="1" s="1"/>
  <c r="BM157" i="1"/>
  <c r="CA155" i="1"/>
  <c r="BQ155" i="1"/>
  <c r="BY155" i="1" s="1"/>
  <c r="BP155" i="1"/>
  <c r="BX155" i="1" s="1"/>
  <c r="BO155" i="1"/>
  <c r="BW155" i="1" s="1"/>
  <c r="BN155" i="1"/>
  <c r="BV155" i="1" s="1"/>
  <c r="BM155" i="1"/>
  <c r="CA154" i="1"/>
  <c r="BQ154" i="1"/>
  <c r="BY154" i="1" s="1"/>
  <c r="BP154" i="1"/>
  <c r="BX154" i="1" s="1"/>
  <c r="BO154" i="1"/>
  <c r="BW154" i="1" s="1"/>
  <c r="BN154" i="1"/>
  <c r="BV154" i="1" s="1"/>
  <c r="BM154" i="1"/>
  <c r="CA151" i="1"/>
  <c r="BQ151" i="1"/>
  <c r="BY151" i="1" s="1"/>
  <c r="BP151" i="1"/>
  <c r="BX151" i="1" s="1"/>
  <c r="BO151" i="1"/>
  <c r="BW151" i="1" s="1"/>
  <c r="BN151" i="1"/>
  <c r="BV151" i="1" s="1"/>
  <c r="BM151" i="1"/>
  <c r="BU151" i="1" s="1"/>
  <c r="CA149" i="1"/>
  <c r="BQ149" i="1"/>
  <c r="BY149" i="1" s="1"/>
  <c r="BP149" i="1"/>
  <c r="BX149" i="1" s="1"/>
  <c r="BO149" i="1"/>
  <c r="BW149" i="1" s="1"/>
  <c r="BN149" i="1"/>
  <c r="BV149" i="1" s="1"/>
  <c r="BM149" i="1"/>
  <c r="CA148" i="1"/>
  <c r="BQ148" i="1"/>
  <c r="BY148" i="1" s="1"/>
  <c r="BP148" i="1"/>
  <c r="BX148" i="1" s="1"/>
  <c r="BO148" i="1"/>
  <c r="BW148" i="1" s="1"/>
  <c r="BN148" i="1"/>
  <c r="BV148" i="1" s="1"/>
  <c r="BM148" i="1"/>
  <c r="CA146" i="1"/>
  <c r="BQ146" i="1"/>
  <c r="BY146" i="1" s="1"/>
  <c r="BP146" i="1"/>
  <c r="BX146" i="1" s="1"/>
  <c r="BO146" i="1"/>
  <c r="BW146" i="1" s="1"/>
  <c r="BN146" i="1"/>
  <c r="BV146" i="1" s="1"/>
  <c r="BM146" i="1"/>
  <c r="CA145" i="1"/>
  <c r="BQ145" i="1"/>
  <c r="BY145" i="1" s="1"/>
  <c r="BP145" i="1"/>
  <c r="BX145" i="1" s="1"/>
  <c r="BO145" i="1"/>
  <c r="BW145" i="1" s="1"/>
  <c r="BN145" i="1"/>
  <c r="BV145" i="1" s="1"/>
  <c r="BM145" i="1"/>
  <c r="CA144" i="1"/>
  <c r="BQ144" i="1"/>
  <c r="BY144" i="1" s="1"/>
  <c r="BP144" i="1"/>
  <c r="BX144" i="1" s="1"/>
  <c r="BO144" i="1"/>
  <c r="BW144" i="1" s="1"/>
  <c r="BN144" i="1"/>
  <c r="BV144" i="1" s="1"/>
  <c r="BM144" i="1"/>
  <c r="CA143" i="1"/>
  <c r="BQ143" i="1"/>
  <c r="BY143" i="1" s="1"/>
  <c r="BP143" i="1"/>
  <c r="BX143" i="1" s="1"/>
  <c r="BO143" i="1"/>
  <c r="BW143" i="1" s="1"/>
  <c r="BN143" i="1"/>
  <c r="BV143" i="1" s="1"/>
  <c r="BM143" i="1"/>
  <c r="CA142" i="1"/>
  <c r="BQ142" i="1"/>
  <c r="BY142" i="1" s="1"/>
  <c r="BP142" i="1"/>
  <c r="BX142" i="1" s="1"/>
  <c r="BO142" i="1"/>
  <c r="BW142" i="1" s="1"/>
  <c r="BN142" i="1"/>
  <c r="BV142" i="1" s="1"/>
  <c r="BM142" i="1"/>
  <c r="CA140" i="1"/>
  <c r="BQ140" i="1"/>
  <c r="BY140" i="1" s="1"/>
  <c r="BP140" i="1"/>
  <c r="BX140" i="1" s="1"/>
  <c r="BO140" i="1"/>
  <c r="BW140" i="1" s="1"/>
  <c r="BN140" i="1"/>
  <c r="BV140" i="1" s="1"/>
  <c r="BM140" i="1"/>
  <c r="CA139" i="1"/>
  <c r="BQ139" i="1"/>
  <c r="BY139" i="1" s="1"/>
  <c r="BP139" i="1"/>
  <c r="BX139" i="1" s="1"/>
  <c r="BO139" i="1"/>
  <c r="BW139" i="1" s="1"/>
  <c r="BN139" i="1"/>
  <c r="BV139" i="1" s="1"/>
  <c r="BM139" i="1"/>
  <c r="CA138" i="1"/>
  <c r="BQ138" i="1"/>
  <c r="BY138" i="1" s="1"/>
  <c r="BP138" i="1"/>
  <c r="BX138" i="1" s="1"/>
  <c r="BO138" i="1"/>
  <c r="BW138" i="1" s="1"/>
  <c r="BN138" i="1"/>
  <c r="BV138" i="1" s="1"/>
  <c r="BM138" i="1"/>
  <c r="CA137" i="1"/>
  <c r="BQ137" i="1"/>
  <c r="BY137" i="1" s="1"/>
  <c r="BP137" i="1"/>
  <c r="BX137" i="1" s="1"/>
  <c r="BO137" i="1"/>
  <c r="BW137" i="1" s="1"/>
  <c r="BN137" i="1"/>
  <c r="BV137" i="1" s="1"/>
  <c r="BM137" i="1"/>
  <c r="CA136" i="1"/>
  <c r="BQ136" i="1"/>
  <c r="BY136" i="1" s="1"/>
  <c r="BP136" i="1"/>
  <c r="BX136" i="1" s="1"/>
  <c r="BO136" i="1"/>
  <c r="BW136" i="1" s="1"/>
  <c r="BN136" i="1"/>
  <c r="BV136" i="1" s="1"/>
  <c r="BM136" i="1"/>
  <c r="CA134" i="1"/>
  <c r="BQ134" i="1"/>
  <c r="BY134" i="1" s="1"/>
  <c r="BP134" i="1"/>
  <c r="BX134" i="1" s="1"/>
  <c r="BO134" i="1"/>
  <c r="BW134" i="1" s="1"/>
  <c r="BN134" i="1"/>
  <c r="BV134" i="1" s="1"/>
  <c r="BM134" i="1"/>
  <c r="CA133" i="1"/>
  <c r="BQ133" i="1"/>
  <c r="BY133" i="1" s="1"/>
  <c r="BP133" i="1"/>
  <c r="BX133" i="1" s="1"/>
  <c r="BO133" i="1"/>
  <c r="BW133" i="1" s="1"/>
  <c r="BN133" i="1"/>
  <c r="BV133" i="1" s="1"/>
  <c r="BM133" i="1"/>
  <c r="CA131" i="1"/>
  <c r="BQ131" i="1"/>
  <c r="BY131" i="1" s="1"/>
  <c r="BP131" i="1"/>
  <c r="BX131" i="1" s="1"/>
  <c r="BO131" i="1"/>
  <c r="BW131" i="1" s="1"/>
  <c r="BN131" i="1"/>
  <c r="BV131" i="1" s="1"/>
  <c r="BM131" i="1"/>
  <c r="BU131" i="1" s="1"/>
  <c r="CA130" i="1"/>
  <c r="BQ130" i="1"/>
  <c r="BY130" i="1" s="1"/>
  <c r="BP130" i="1"/>
  <c r="BX130" i="1" s="1"/>
  <c r="BO130" i="1"/>
  <c r="BW130" i="1" s="1"/>
  <c r="BN130" i="1"/>
  <c r="BV130" i="1" s="1"/>
  <c r="BM130" i="1"/>
  <c r="CA128" i="1"/>
  <c r="BQ128" i="1"/>
  <c r="BY128" i="1" s="1"/>
  <c r="BP128" i="1"/>
  <c r="BX128" i="1" s="1"/>
  <c r="BO128" i="1"/>
  <c r="BW128" i="1" s="1"/>
  <c r="BN128" i="1"/>
  <c r="BV128" i="1" s="1"/>
  <c r="BM128" i="1"/>
  <c r="CA127" i="1"/>
  <c r="BQ127" i="1"/>
  <c r="BY127" i="1" s="1"/>
  <c r="BP127" i="1"/>
  <c r="BX127" i="1" s="1"/>
  <c r="BO127" i="1"/>
  <c r="BW127" i="1" s="1"/>
  <c r="BN127" i="1"/>
  <c r="BV127" i="1" s="1"/>
  <c r="BM127" i="1"/>
  <c r="CA126" i="1"/>
  <c r="BQ126" i="1"/>
  <c r="BY126" i="1" s="1"/>
  <c r="BP126" i="1"/>
  <c r="BX126" i="1" s="1"/>
  <c r="BO126" i="1"/>
  <c r="BW126" i="1" s="1"/>
  <c r="BN126" i="1"/>
  <c r="BV126" i="1" s="1"/>
  <c r="BM126" i="1"/>
  <c r="BU126" i="1" s="1"/>
  <c r="CA125" i="1"/>
  <c r="BQ125" i="1"/>
  <c r="BY125" i="1" s="1"/>
  <c r="BP125" i="1"/>
  <c r="BX125" i="1" s="1"/>
  <c r="BO125" i="1"/>
  <c r="BW125" i="1" s="1"/>
  <c r="BN125" i="1"/>
  <c r="BV125" i="1" s="1"/>
  <c r="BM125" i="1"/>
  <c r="CA124" i="1"/>
  <c r="BQ124" i="1"/>
  <c r="BY124" i="1" s="1"/>
  <c r="BP124" i="1"/>
  <c r="BX124" i="1" s="1"/>
  <c r="BO124" i="1"/>
  <c r="BW124" i="1" s="1"/>
  <c r="BN124" i="1"/>
  <c r="BV124" i="1" s="1"/>
  <c r="BM124" i="1"/>
  <c r="CA123" i="1"/>
  <c r="BQ123" i="1"/>
  <c r="BY123" i="1" s="1"/>
  <c r="BP123" i="1"/>
  <c r="BX123" i="1" s="1"/>
  <c r="BO123" i="1"/>
  <c r="BW123" i="1" s="1"/>
  <c r="BN123" i="1"/>
  <c r="BV123" i="1" s="1"/>
  <c r="BM123" i="1"/>
  <c r="CA122" i="1"/>
  <c r="BQ122" i="1"/>
  <c r="BY122" i="1" s="1"/>
  <c r="BP122" i="1"/>
  <c r="BX122" i="1" s="1"/>
  <c r="BO122" i="1"/>
  <c r="BW122" i="1" s="1"/>
  <c r="BN122" i="1"/>
  <c r="BV122" i="1" s="1"/>
  <c r="BM122" i="1"/>
  <c r="CA121" i="1"/>
  <c r="BQ121" i="1"/>
  <c r="BY121" i="1" s="1"/>
  <c r="BP121" i="1"/>
  <c r="BX121" i="1" s="1"/>
  <c r="BO121" i="1"/>
  <c r="BW121" i="1" s="1"/>
  <c r="BN121" i="1"/>
  <c r="BV121" i="1" s="1"/>
  <c r="BM121" i="1"/>
  <c r="CA120" i="1"/>
  <c r="BQ120" i="1"/>
  <c r="BY120" i="1" s="1"/>
  <c r="BP120" i="1"/>
  <c r="BX120" i="1" s="1"/>
  <c r="BO120" i="1"/>
  <c r="BW120" i="1" s="1"/>
  <c r="BN120" i="1"/>
  <c r="BV120" i="1" s="1"/>
  <c r="BM120" i="1"/>
  <c r="CA119" i="1"/>
  <c r="BQ119" i="1"/>
  <c r="BY119" i="1" s="1"/>
  <c r="BP119" i="1"/>
  <c r="BX119" i="1" s="1"/>
  <c r="BO119" i="1"/>
  <c r="BW119" i="1" s="1"/>
  <c r="BN119" i="1"/>
  <c r="BV119" i="1" s="1"/>
  <c r="BM119" i="1"/>
  <c r="BU119" i="1" s="1"/>
  <c r="CA118" i="1"/>
  <c r="BQ118" i="1"/>
  <c r="BY118" i="1" s="1"/>
  <c r="BP118" i="1"/>
  <c r="BX118" i="1" s="1"/>
  <c r="BO118" i="1"/>
  <c r="BW118" i="1" s="1"/>
  <c r="BN118" i="1"/>
  <c r="BV118" i="1" s="1"/>
  <c r="BM118" i="1"/>
  <c r="BU118" i="1" s="1"/>
  <c r="CA117" i="1"/>
  <c r="BQ117" i="1"/>
  <c r="BY117" i="1" s="1"/>
  <c r="BP117" i="1"/>
  <c r="BX117" i="1" s="1"/>
  <c r="BO117" i="1"/>
  <c r="BW117" i="1" s="1"/>
  <c r="BN117" i="1"/>
  <c r="BV117" i="1" s="1"/>
  <c r="BM117" i="1"/>
  <c r="CA116" i="1"/>
  <c r="BQ116" i="1"/>
  <c r="BY116" i="1" s="1"/>
  <c r="BP116" i="1"/>
  <c r="BX116" i="1" s="1"/>
  <c r="BO116" i="1"/>
  <c r="BW116" i="1" s="1"/>
  <c r="BN116" i="1"/>
  <c r="BV116" i="1" s="1"/>
  <c r="BM116" i="1"/>
  <c r="CA114" i="1"/>
  <c r="BQ114" i="1"/>
  <c r="BY114" i="1" s="1"/>
  <c r="BP114" i="1"/>
  <c r="BX114" i="1" s="1"/>
  <c r="BO114" i="1"/>
  <c r="BW114" i="1" s="1"/>
  <c r="BN114" i="1"/>
  <c r="BV114" i="1" s="1"/>
  <c r="BM114" i="1"/>
  <c r="BU114" i="1" s="1"/>
  <c r="CA113" i="1"/>
  <c r="BQ113" i="1"/>
  <c r="BY113" i="1" s="1"/>
  <c r="BP113" i="1"/>
  <c r="BX113" i="1" s="1"/>
  <c r="BO113" i="1"/>
  <c r="BW113" i="1" s="1"/>
  <c r="BN113" i="1"/>
  <c r="BV113" i="1" s="1"/>
  <c r="BM113" i="1"/>
  <c r="CA112" i="1"/>
  <c r="BQ112" i="1"/>
  <c r="BY112" i="1" s="1"/>
  <c r="BP112" i="1"/>
  <c r="BX112" i="1" s="1"/>
  <c r="BO112" i="1"/>
  <c r="BW112" i="1" s="1"/>
  <c r="BN112" i="1"/>
  <c r="BV112" i="1" s="1"/>
  <c r="BM112" i="1"/>
  <c r="CA111" i="1"/>
  <c r="BQ111" i="1"/>
  <c r="BY111" i="1" s="1"/>
  <c r="BP111" i="1"/>
  <c r="BX111" i="1" s="1"/>
  <c r="BO111" i="1"/>
  <c r="BW111" i="1" s="1"/>
  <c r="BN111" i="1"/>
  <c r="BV111" i="1" s="1"/>
  <c r="BM111" i="1"/>
  <c r="CA110" i="1"/>
  <c r="BQ110" i="1"/>
  <c r="BY110" i="1" s="1"/>
  <c r="BP110" i="1"/>
  <c r="BX110" i="1" s="1"/>
  <c r="BO110" i="1"/>
  <c r="BW110" i="1" s="1"/>
  <c r="BN110" i="1"/>
  <c r="BV110" i="1" s="1"/>
  <c r="BM110" i="1"/>
  <c r="CA109" i="1"/>
  <c r="BQ109" i="1"/>
  <c r="BY109" i="1" s="1"/>
  <c r="BP109" i="1"/>
  <c r="BX109" i="1" s="1"/>
  <c r="BO109" i="1"/>
  <c r="BW109" i="1" s="1"/>
  <c r="BN109" i="1"/>
  <c r="BV109" i="1" s="1"/>
  <c r="BM109" i="1"/>
  <c r="CA107" i="1"/>
  <c r="BQ107" i="1"/>
  <c r="BY107" i="1" s="1"/>
  <c r="BP107" i="1"/>
  <c r="BX107" i="1" s="1"/>
  <c r="BO107" i="1"/>
  <c r="BW107" i="1" s="1"/>
  <c r="BN107" i="1"/>
  <c r="BV107" i="1" s="1"/>
  <c r="BM107" i="1"/>
  <c r="CA106" i="1"/>
  <c r="BQ106" i="1"/>
  <c r="BY106" i="1" s="1"/>
  <c r="BP106" i="1"/>
  <c r="BX106" i="1" s="1"/>
  <c r="BO106" i="1"/>
  <c r="BW106" i="1" s="1"/>
  <c r="BN106" i="1"/>
  <c r="BV106" i="1" s="1"/>
  <c r="BM106" i="1"/>
  <c r="CA105" i="1"/>
  <c r="BQ105" i="1"/>
  <c r="BY105" i="1" s="1"/>
  <c r="BP105" i="1"/>
  <c r="BX105" i="1" s="1"/>
  <c r="BO105" i="1"/>
  <c r="BW105" i="1" s="1"/>
  <c r="BN105" i="1"/>
  <c r="BV105" i="1" s="1"/>
  <c r="BM105" i="1"/>
  <c r="BU105" i="1" s="1"/>
  <c r="CA104" i="1"/>
  <c r="BQ104" i="1"/>
  <c r="BY104" i="1" s="1"/>
  <c r="BP104" i="1"/>
  <c r="BX104" i="1" s="1"/>
  <c r="BO104" i="1"/>
  <c r="BW104" i="1" s="1"/>
  <c r="BN104" i="1"/>
  <c r="BV104" i="1" s="1"/>
  <c r="BM104" i="1"/>
  <c r="CA103" i="1"/>
  <c r="BQ103" i="1"/>
  <c r="BY103" i="1" s="1"/>
  <c r="BP103" i="1"/>
  <c r="BX103" i="1" s="1"/>
  <c r="BO103" i="1"/>
  <c r="BW103" i="1" s="1"/>
  <c r="BN103" i="1"/>
  <c r="BV103" i="1" s="1"/>
  <c r="BM103" i="1"/>
  <c r="CA101" i="1"/>
  <c r="BQ101" i="1"/>
  <c r="BY101" i="1" s="1"/>
  <c r="BP101" i="1"/>
  <c r="BX101" i="1" s="1"/>
  <c r="BO101" i="1"/>
  <c r="BW101" i="1" s="1"/>
  <c r="BN101" i="1"/>
  <c r="BV101" i="1" s="1"/>
  <c r="BM101" i="1"/>
  <c r="BU101" i="1" s="1"/>
  <c r="CA100" i="1"/>
  <c r="BQ100" i="1"/>
  <c r="BY100" i="1" s="1"/>
  <c r="BP100" i="1"/>
  <c r="BX100" i="1" s="1"/>
  <c r="BO100" i="1"/>
  <c r="BW100" i="1" s="1"/>
  <c r="BN100" i="1"/>
  <c r="BV100" i="1" s="1"/>
  <c r="BM100" i="1"/>
  <c r="BU100" i="1" s="1"/>
  <c r="CA99" i="1"/>
  <c r="BQ99" i="1"/>
  <c r="BY99" i="1" s="1"/>
  <c r="BP99" i="1"/>
  <c r="BX99" i="1" s="1"/>
  <c r="BO99" i="1"/>
  <c r="BW99" i="1" s="1"/>
  <c r="BN99" i="1"/>
  <c r="BV99" i="1" s="1"/>
  <c r="BM99" i="1"/>
  <c r="CA98" i="1"/>
  <c r="BQ98" i="1"/>
  <c r="BY98" i="1" s="1"/>
  <c r="BP98" i="1"/>
  <c r="BX98" i="1" s="1"/>
  <c r="BO98" i="1"/>
  <c r="BW98" i="1" s="1"/>
  <c r="BN98" i="1"/>
  <c r="BV98" i="1" s="1"/>
  <c r="BM98" i="1"/>
  <c r="CA96" i="1"/>
  <c r="BQ96" i="1"/>
  <c r="BY96" i="1" s="1"/>
  <c r="BP96" i="1"/>
  <c r="BX96" i="1" s="1"/>
  <c r="BO96" i="1"/>
  <c r="BW96" i="1" s="1"/>
  <c r="BN96" i="1"/>
  <c r="BV96" i="1" s="1"/>
  <c r="BM96" i="1"/>
  <c r="CA95" i="1"/>
  <c r="BQ95" i="1"/>
  <c r="BY95" i="1" s="1"/>
  <c r="BP95" i="1"/>
  <c r="BX95" i="1" s="1"/>
  <c r="BO95" i="1"/>
  <c r="BW95" i="1" s="1"/>
  <c r="BN95" i="1"/>
  <c r="BV95" i="1" s="1"/>
  <c r="BM95" i="1"/>
  <c r="CA94" i="1"/>
  <c r="BQ94" i="1"/>
  <c r="BY94" i="1" s="1"/>
  <c r="BP94" i="1"/>
  <c r="BX94" i="1" s="1"/>
  <c r="BO94" i="1"/>
  <c r="BW94" i="1" s="1"/>
  <c r="BN94" i="1"/>
  <c r="BV94" i="1" s="1"/>
  <c r="BM94" i="1"/>
  <c r="CA93" i="1"/>
  <c r="BQ93" i="1"/>
  <c r="BY93" i="1" s="1"/>
  <c r="BP93" i="1"/>
  <c r="BX93" i="1" s="1"/>
  <c r="BO93" i="1"/>
  <c r="BW93" i="1" s="1"/>
  <c r="BN93" i="1"/>
  <c r="BV93" i="1" s="1"/>
  <c r="BM93" i="1"/>
  <c r="CA92" i="1"/>
  <c r="BQ92" i="1"/>
  <c r="BY92" i="1" s="1"/>
  <c r="BP92" i="1"/>
  <c r="BX92" i="1" s="1"/>
  <c r="BO92" i="1"/>
  <c r="BW92" i="1" s="1"/>
  <c r="BN92" i="1"/>
  <c r="BV92" i="1" s="1"/>
  <c r="BM92" i="1"/>
  <c r="BU92" i="1" s="1"/>
  <c r="CA91" i="1"/>
  <c r="BQ91" i="1"/>
  <c r="BY91" i="1" s="1"/>
  <c r="BP91" i="1"/>
  <c r="BX91" i="1" s="1"/>
  <c r="BO91" i="1"/>
  <c r="BW91" i="1" s="1"/>
  <c r="BN91" i="1"/>
  <c r="BV91" i="1" s="1"/>
  <c r="BM91" i="1"/>
  <c r="CA89" i="1"/>
  <c r="BQ89" i="1"/>
  <c r="BY89" i="1" s="1"/>
  <c r="BP89" i="1"/>
  <c r="BX89" i="1" s="1"/>
  <c r="BO89" i="1"/>
  <c r="BW89" i="1" s="1"/>
  <c r="BN89" i="1"/>
  <c r="BV89" i="1" s="1"/>
  <c r="BM89" i="1"/>
  <c r="CA88" i="1"/>
  <c r="BQ88" i="1"/>
  <c r="BY88" i="1" s="1"/>
  <c r="BP88" i="1"/>
  <c r="BX88" i="1" s="1"/>
  <c r="BO88" i="1"/>
  <c r="BW88" i="1" s="1"/>
  <c r="BN88" i="1"/>
  <c r="BV88" i="1" s="1"/>
  <c r="BM88" i="1"/>
  <c r="BU88" i="1" s="1"/>
  <c r="CA87" i="1"/>
  <c r="BQ87" i="1"/>
  <c r="BY87" i="1" s="1"/>
  <c r="BP87" i="1"/>
  <c r="BX87" i="1" s="1"/>
  <c r="BO87" i="1"/>
  <c r="BW87" i="1" s="1"/>
  <c r="BN87" i="1"/>
  <c r="BV87" i="1" s="1"/>
  <c r="BM87" i="1"/>
  <c r="CA86" i="1"/>
  <c r="BQ86" i="1"/>
  <c r="BY86" i="1" s="1"/>
  <c r="BP86" i="1"/>
  <c r="BX86" i="1" s="1"/>
  <c r="BO86" i="1"/>
  <c r="BW86" i="1" s="1"/>
  <c r="BN86" i="1"/>
  <c r="BV86" i="1" s="1"/>
  <c r="BM86" i="1"/>
  <c r="CA85" i="1"/>
  <c r="BQ85" i="1"/>
  <c r="BY85" i="1" s="1"/>
  <c r="BP85" i="1"/>
  <c r="BX85" i="1" s="1"/>
  <c r="BO85" i="1"/>
  <c r="BW85" i="1" s="1"/>
  <c r="BN85" i="1"/>
  <c r="BV85" i="1" s="1"/>
  <c r="BM85" i="1"/>
  <c r="CA84" i="1"/>
  <c r="BQ84" i="1"/>
  <c r="BY84" i="1" s="1"/>
  <c r="BP84" i="1"/>
  <c r="BX84" i="1" s="1"/>
  <c r="BO84" i="1"/>
  <c r="BW84" i="1" s="1"/>
  <c r="BN84" i="1"/>
  <c r="BV84" i="1" s="1"/>
  <c r="BM84" i="1"/>
  <c r="CA83" i="1"/>
  <c r="BQ83" i="1"/>
  <c r="BY83" i="1" s="1"/>
  <c r="BP83" i="1"/>
  <c r="BX83" i="1" s="1"/>
  <c r="BO83" i="1"/>
  <c r="BW83" i="1" s="1"/>
  <c r="BN83" i="1"/>
  <c r="BV83" i="1" s="1"/>
  <c r="BM83" i="1"/>
  <c r="CA82" i="1"/>
  <c r="BQ82" i="1"/>
  <c r="BY82" i="1" s="1"/>
  <c r="BP82" i="1"/>
  <c r="BX82" i="1" s="1"/>
  <c r="BO82" i="1"/>
  <c r="BW82" i="1" s="1"/>
  <c r="BN82" i="1"/>
  <c r="BV82" i="1" s="1"/>
  <c r="BM82" i="1"/>
  <c r="CA80" i="1"/>
  <c r="BQ80" i="1"/>
  <c r="BY80" i="1" s="1"/>
  <c r="BP80" i="1"/>
  <c r="BX80" i="1" s="1"/>
  <c r="BO80" i="1"/>
  <c r="BW80" i="1" s="1"/>
  <c r="BN80" i="1"/>
  <c r="BV80" i="1" s="1"/>
  <c r="BM80" i="1"/>
  <c r="BU80" i="1" s="1"/>
  <c r="CA79" i="1"/>
  <c r="BQ79" i="1"/>
  <c r="BY79" i="1" s="1"/>
  <c r="BP79" i="1"/>
  <c r="BX79" i="1" s="1"/>
  <c r="BO79" i="1"/>
  <c r="BW79" i="1" s="1"/>
  <c r="BN79" i="1"/>
  <c r="BV79" i="1" s="1"/>
  <c r="BM79" i="1"/>
  <c r="BU79" i="1" s="1"/>
  <c r="CA78" i="1"/>
  <c r="BQ78" i="1"/>
  <c r="BY78" i="1" s="1"/>
  <c r="BP78" i="1"/>
  <c r="BX78" i="1" s="1"/>
  <c r="BO78" i="1"/>
  <c r="BW78" i="1" s="1"/>
  <c r="BN78" i="1"/>
  <c r="BV78" i="1" s="1"/>
  <c r="BM78" i="1"/>
  <c r="CA77" i="1"/>
  <c r="BQ77" i="1"/>
  <c r="BY77" i="1" s="1"/>
  <c r="BP77" i="1"/>
  <c r="BX77" i="1" s="1"/>
  <c r="BO77" i="1"/>
  <c r="BW77" i="1" s="1"/>
  <c r="BN77" i="1"/>
  <c r="BV77" i="1" s="1"/>
  <c r="BM77" i="1"/>
  <c r="CA76" i="1"/>
  <c r="BQ76" i="1"/>
  <c r="BY76" i="1" s="1"/>
  <c r="BP76" i="1"/>
  <c r="BX76" i="1" s="1"/>
  <c r="BO76" i="1"/>
  <c r="BW76" i="1" s="1"/>
  <c r="BN76" i="1"/>
  <c r="BV76" i="1" s="1"/>
  <c r="BM76" i="1"/>
  <c r="CA75" i="1"/>
  <c r="BQ75" i="1"/>
  <c r="BY75" i="1" s="1"/>
  <c r="BP75" i="1"/>
  <c r="BX75" i="1" s="1"/>
  <c r="BO75" i="1"/>
  <c r="BW75" i="1" s="1"/>
  <c r="BN75" i="1"/>
  <c r="BV75" i="1" s="1"/>
  <c r="BM75" i="1"/>
  <c r="CA73" i="1"/>
  <c r="BQ73" i="1"/>
  <c r="BY73" i="1" s="1"/>
  <c r="BP73" i="1"/>
  <c r="BX73" i="1" s="1"/>
  <c r="BO73" i="1"/>
  <c r="BW73" i="1" s="1"/>
  <c r="BN73" i="1"/>
  <c r="BV73" i="1" s="1"/>
  <c r="BM73" i="1"/>
  <c r="CA72" i="1"/>
  <c r="BQ72" i="1"/>
  <c r="BY72" i="1" s="1"/>
  <c r="BP72" i="1"/>
  <c r="BX72" i="1" s="1"/>
  <c r="BO72" i="1"/>
  <c r="BW72" i="1" s="1"/>
  <c r="BN72" i="1"/>
  <c r="BV72" i="1" s="1"/>
  <c r="BM72" i="1"/>
  <c r="BU72" i="1" s="1"/>
  <c r="CA71" i="1"/>
  <c r="BQ71" i="1"/>
  <c r="BY71" i="1" s="1"/>
  <c r="BP71" i="1"/>
  <c r="BX71" i="1" s="1"/>
  <c r="BO71" i="1"/>
  <c r="BW71" i="1" s="1"/>
  <c r="BN71" i="1"/>
  <c r="BV71" i="1" s="1"/>
  <c r="BM71" i="1"/>
  <c r="BU71" i="1" s="1"/>
  <c r="CA70" i="1"/>
  <c r="BQ70" i="1"/>
  <c r="BY70" i="1" s="1"/>
  <c r="BP70" i="1"/>
  <c r="BX70" i="1" s="1"/>
  <c r="BO70" i="1"/>
  <c r="BW70" i="1" s="1"/>
  <c r="BN70" i="1"/>
  <c r="BV70" i="1" s="1"/>
  <c r="BM70" i="1"/>
  <c r="CA69" i="1"/>
  <c r="BQ69" i="1"/>
  <c r="BY69" i="1" s="1"/>
  <c r="BP69" i="1"/>
  <c r="BX69" i="1" s="1"/>
  <c r="BO69" i="1"/>
  <c r="BW69" i="1" s="1"/>
  <c r="BN69" i="1"/>
  <c r="BV69" i="1" s="1"/>
  <c r="BM69" i="1"/>
  <c r="CA67" i="1"/>
  <c r="BQ67" i="1"/>
  <c r="BY67" i="1" s="1"/>
  <c r="BP67" i="1"/>
  <c r="BX67" i="1" s="1"/>
  <c r="BO67" i="1"/>
  <c r="BW67" i="1" s="1"/>
  <c r="BN67" i="1"/>
  <c r="BV67" i="1" s="1"/>
  <c r="BM67" i="1"/>
  <c r="CA66" i="1"/>
  <c r="BQ66" i="1"/>
  <c r="BY66" i="1" s="1"/>
  <c r="BP66" i="1"/>
  <c r="BX66" i="1" s="1"/>
  <c r="BO66" i="1"/>
  <c r="BW66" i="1" s="1"/>
  <c r="BN66" i="1"/>
  <c r="BV66" i="1" s="1"/>
  <c r="BM66" i="1"/>
  <c r="CA65" i="1"/>
  <c r="BQ65" i="1"/>
  <c r="BY65" i="1" s="1"/>
  <c r="BP65" i="1"/>
  <c r="BX65" i="1" s="1"/>
  <c r="BO65" i="1"/>
  <c r="BW65" i="1" s="1"/>
  <c r="BN65" i="1"/>
  <c r="BV65" i="1" s="1"/>
  <c r="BM65" i="1"/>
  <c r="CA64" i="1"/>
  <c r="BQ64" i="1"/>
  <c r="BY64" i="1" s="1"/>
  <c r="BP64" i="1"/>
  <c r="BX64" i="1" s="1"/>
  <c r="BO64" i="1"/>
  <c r="BW64" i="1" s="1"/>
  <c r="BN64" i="1"/>
  <c r="BV64" i="1" s="1"/>
  <c r="BM64" i="1"/>
  <c r="CA63" i="1"/>
  <c r="BQ63" i="1"/>
  <c r="BY63" i="1" s="1"/>
  <c r="BP63" i="1"/>
  <c r="BX63" i="1" s="1"/>
  <c r="BO63" i="1"/>
  <c r="BW63" i="1" s="1"/>
  <c r="BN63" i="1"/>
  <c r="BV63" i="1" s="1"/>
  <c r="BM63" i="1"/>
  <c r="BU63" i="1" s="1"/>
  <c r="CA61" i="1"/>
  <c r="BQ61" i="1"/>
  <c r="BY61" i="1" s="1"/>
  <c r="BP61" i="1"/>
  <c r="BX61" i="1" s="1"/>
  <c r="BO61" i="1"/>
  <c r="BW61" i="1" s="1"/>
  <c r="BN61" i="1"/>
  <c r="BV61" i="1" s="1"/>
  <c r="BM61" i="1"/>
  <c r="BU61" i="1" s="1"/>
  <c r="CA60" i="1"/>
  <c r="BQ60" i="1"/>
  <c r="BY60" i="1" s="1"/>
  <c r="BP60" i="1"/>
  <c r="BX60" i="1" s="1"/>
  <c r="BO60" i="1"/>
  <c r="BW60" i="1" s="1"/>
  <c r="BN60" i="1"/>
  <c r="BV60" i="1" s="1"/>
  <c r="BM60" i="1"/>
  <c r="CA59" i="1"/>
  <c r="BQ59" i="1"/>
  <c r="BY59" i="1" s="1"/>
  <c r="BP59" i="1"/>
  <c r="BX59" i="1" s="1"/>
  <c r="BO59" i="1"/>
  <c r="BW59" i="1" s="1"/>
  <c r="BN59" i="1"/>
  <c r="BV59" i="1" s="1"/>
  <c r="BM59" i="1"/>
  <c r="BU59" i="1" s="1"/>
  <c r="CA58" i="1"/>
  <c r="BQ58" i="1"/>
  <c r="BY58" i="1" s="1"/>
  <c r="BP58" i="1"/>
  <c r="BX58" i="1" s="1"/>
  <c r="BO58" i="1"/>
  <c r="BW58" i="1" s="1"/>
  <c r="BN58" i="1"/>
  <c r="BV58" i="1" s="1"/>
  <c r="BM58" i="1"/>
  <c r="CA57" i="1"/>
  <c r="BQ57" i="1"/>
  <c r="BY57" i="1" s="1"/>
  <c r="BP57" i="1"/>
  <c r="BX57" i="1" s="1"/>
  <c r="BO57" i="1"/>
  <c r="BW57" i="1" s="1"/>
  <c r="BN57" i="1"/>
  <c r="BV57" i="1" s="1"/>
  <c r="BM57" i="1"/>
  <c r="CA55" i="1"/>
  <c r="BQ55" i="1"/>
  <c r="BY55" i="1" s="1"/>
  <c r="BP55" i="1"/>
  <c r="BX55" i="1" s="1"/>
  <c r="BO55" i="1"/>
  <c r="BW55" i="1" s="1"/>
  <c r="BN55" i="1"/>
  <c r="BV55" i="1" s="1"/>
  <c r="BM55" i="1"/>
  <c r="CA54" i="1"/>
  <c r="BQ54" i="1"/>
  <c r="BY54" i="1" s="1"/>
  <c r="BP54" i="1"/>
  <c r="BX54" i="1" s="1"/>
  <c r="BO54" i="1"/>
  <c r="BW54" i="1" s="1"/>
  <c r="BN54" i="1"/>
  <c r="BV54" i="1" s="1"/>
  <c r="BM54" i="1"/>
  <c r="BU54" i="1" s="1"/>
  <c r="CA53" i="1"/>
  <c r="BQ53" i="1"/>
  <c r="BY53" i="1" s="1"/>
  <c r="BP53" i="1"/>
  <c r="BX53" i="1" s="1"/>
  <c r="BO53" i="1"/>
  <c r="BW53" i="1" s="1"/>
  <c r="BN53" i="1"/>
  <c r="BV53" i="1" s="1"/>
  <c r="BM53" i="1"/>
  <c r="CA52" i="1"/>
  <c r="BQ52" i="1"/>
  <c r="BY52" i="1" s="1"/>
  <c r="BP52" i="1"/>
  <c r="BX52" i="1" s="1"/>
  <c r="BO52" i="1"/>
  <c r="BW52" i="1" s="1"/>
  <c r="BN52" i="1"/>
  <c r="BV52" i="1" s="1"/>
  <c r="BM52" i="1"/>
  <c r="BU52" i="1" s="1"/>
  <c r="CA51" i="1"/>
  <c r="BQ51" i="1"/>
  <c r="BY51" i="1" s="1"/>
  <c r="BP51" i="1"/>
  <c r="BX51" i="1" s="1"/>
  <c r="BO51" i="1"/>
  <c r="BW51" i="1" s="1"/>
  <c r="BN51" i="1"/>
  <c r="BV51" i="1" s="1"/>
  <c r="BM51" i="1"/>
  <c r="CA50" i="1"/>
  <c r="BQ50" i="1"/>
  <c r="BY50" i="1" s="1"/>
  <c r="BP50" i="1"/>
  <c r="BX50" i="1" s="1"/>
  <c r="BO50" i="1"/>
  <c r="BW50" i="1" s="1"/>
  <c r="BN50" i="1"/>
  <c r="BV50" i="1" s="1"/>
  <c r="BM50" i="1"/>
  <c r="BU50" i="1" s="1"/>
  <c r="CA49" i="1"/>
  <c r="BQ49" i="1"/>
  <c r="BY49" i="1" s="1"/>
  <c r="BP49" i="1"/>
  <c r="BX49" i="1" s="1"/>
  <c r="BO49" i="1"/>
  <c r="BW49" i="1" s="1"/>
  <c r="BN49" i="1"/>
  <c r="BV49" i="1" s="1"/>
  <c r="BM49" i="1"/>
  <c r="CA48" i="1"/>
  <c r="BQ48" i="1"/>
  <c r="BY48" i="1" s="1"/>
  <c r="BP48" i="1"/>
  <c r="BX48" i="1" s="1"/>
  <c r="BO48" i="1"/>
  <c r="BW48" i="1" s="1"/>
  <c r="BN48" i="1"/>
  <c r="BV48" i="1" s="1"/>
  <c r="BM48" i="1"/>
  <c r="CA47" i="1"/>
  <c r="BQ47" i="1"/>
  <c r="BY47" i="1" s="1"/>
  <c r="BP47" i="1"/>
  <c r="BX47" i="1" s="1"/>
  <c r="BO47" i="1"/>
  <c r="BW47" i="1" s="1"/>
  <c r="BN47" i="1"/>
  <c r="BV47" i="1" s="1"/>
  <c r="BM47" i="1"/>
  <c r="CA45" i="1"/>
  <c r="BQ45" i="1"/>
  <c r="BY45" i="1" s="1"/>
  <c r="BP45" i="1"/>
  <c r="BX45" i="1" s="1"/>
  <c r="BO45" i="1"/>
  <c r="BW45" i="1" s="1"/>
  <c r="BN45" i="1"/>
  <c r="BV45" i="1" s="1"/>
  <c r="BM45" i="1"/>
  <c r="BU45" i="1" s="1"/>
  <c r="CA44" i="1"/>
  <c r="BQ44" i="1"/>
  <c r="BY44" i="1" s="1"/>
  <c r="BP44" i="1"/>
  <c r="BX44" i="1" s="1"/>
  <c r="BO44" i="1"/>
  <c r="BW44" i="1" s="1"/>
  <c r="BN44" i="1"/>
  <c r="BV44" i="1" s="1"/>
  <c r="BM44" i="1"/>
  <c r="CA43" i="1"/>
  <c r="BQ43" i="1"/>
  <c r="BY43" i="1" s="1"/>
  <c r="BP43" i="1"/>
  <c r="BX43" i="1" s="1"/>
  <c r="BO43" i="1"/>
  <c r="BW43" i="1" s="1"/>
  <c r="BN43" i="1"/>
  <c r="BV43" i="1" s="1"/>
  <c r="BM43" i="1"/>
  <c r="CA42" i="1"/>
  <c r="BQ42" i="1"/>
  <c r="BY42" i="1" s="1"/>
  <c r="BP42" i="1"/>
  <c r="BX42" i="1" s="1"/>
  <c r="BO42" i="1"/>
  <c r="BW42" i="1" s="1"/>
  <c r="BN42" i="1"/>
  <c r="BV42" i="1" s="1"/>
  <c r="BM42" i="1"/>
  <c r="CA41" i="1"/>
  <c r="BQ41" i="1"/>
  <c r="BY41" i="1" s="1"/>
  <c r="BP41" i="1"/>
  <c r="BX41" i="1" s="1"/>
  <c r="BO41" i="1"/>
  <c r="BW41" i="1" s="1"/>
  <c r="BN41" i="1"/>
  <c r="BV41" i="1" s="1"/>
  <c r="BM41" i="1"/>
  <c r="BU41" i="1" s="1"/>
  <c r="CA39" i="1"/>
  <c r="BQ39" i="1"/>
  <c r="BY39" i="1" s="1"/>
  <c r="BP39" i="1"/>
  <c r="BX39" i="1" s="1"/>
  <c r="BO39" i="1"/>
  <c r="BW39" i="1" s="1"/>
  <c r="BN39" i="1"/>
  <c r="BV39" i="1" s="1"/>
  <c r="BM39" i="1"/>
  <c r="CA38" i="1"/>
  <c r="BQ38" i="1"/>
  <c r="BY38" i="1" s="1"/>
  <c r="BP38" i="1"/>
  <c r="BX38" i="1" s="1"/>
  <c r="BO38" i="1"/>
  <c r="BW38" i="1" s="1"/>
  <c r="BN38" i="1"/>
  <c r="BV38" i="1" s="1"/>
  <c r="BM38" i="1"/>
  <c r="CA37" i="1"/>
  <c r="BQ37" i="1"/>
  <c r="BY37" i="1" s="1"/>
  <c r="BP37" i="1"/>
  <c r="BX37" i="1" s="1"/>
  <c r="BO37" i="1"/>
  <c r="BW37" i="1" s="1"/>
  <c r="BN37" i="1"/>
  <c r="BV37" i="1" s="1"/>
  <c r="BM37" i="1"/>
  <c r="CA36" i="1"/>
  <c r="BQ36" i="1"/>
  <c r="BY36" i="1" s="1"/>
  <c r="BP36" i="1"/>
  <c r="BX36" i="1" s="1"/>
  <c r="BO36" i="1"/>
  <c r="BW36" i="1" s="1"/>
  <c r="BN36" i="1"/>
  <c r="BV36" i="1" s="1"/>
  <c r="BM36" i="1"/>
  <c r="BU36" i="1" s="1"/>
  <c r="CA35" i="1"/>
  <c r="BQ35" i="1"/>
  <c r="BY35" i="1" s="1"/>
  <c r="BP35" i="1"/>
  <c r="BX35" i="1" s="1"/>
  <c r="BO35" i="1"/>
  <c r="BW35" i="1" s="1"/>
  <c r="BN35" i="1"/>
  <c r="BV35" i="1" s="1"/>
  <c r="BM35" i="1"/>
  <c r="CA32" i="1"/>
  <c r="BQ32" i="1"/>
  <c r="BY32" i="1" s="1"/>
  <c r="BP32" i="1"/>
  <c r="BX32" i="1" s="1"/>
  <c r="BO32" i="1"/>
  <c r="BW32" i="1" s="1"/>
  <c r="BN32" i="1"/>
  <c r="BV32" i="1" s="1"/>
  <c r="BM32" i="1"/>
  <c r="CA31" i="1"/>
  <c r="BQ31" i="1"/>
  <c r="BY31" i="1" s="1"/>
  <c r="BP31" i="1"/>
  <c r="BX31" i="1" s="1"/>
  <c r="BO31" i="1"/>
  <c r="BW31" i="1" s="1"/>
  <c r="BN31" i="1"/>
  <c r="BV31" i="1" s="1"/>
  <c r="BM31" i="1"/>
  <c r="BU31" i="1" s="1"/>
  <c r="CA30" i="1"/>
  <c r="BQ30" i="1"/>
  <c r="BY30" i="1" s="1"/>
  <c r="BP30" i="1"/>
  <c r="BX30" i="1" s="1"/>
  <c r="BO30" i="1"/>
  <c r="BW30" i="1" s="1"/>
  <c r="BN30" i="1"/>
  <c r="BV30" i="1" s="1"/>
  <c r="BM30" i="1"/>
  <c r="BU30" i="1" s="1"/>
  <c r="CA29" i="1"/>
  <c r="BQ29" i="1"/>
  <c r="BY29" i="1" s="1"/>
  <c r="BP29" i="1"/>
  <c r="BX29" i="1" s="1"/>
  <c r="BO29" i="1"/>
  <c r="BW29" i="1" s="1"/>
  <c r="BN29" i="1"/>
  <c r="BV29" i="1" s="1"/>
  <c r="BM29" i="1"/>
  <c r="CA28" i="1"/>
  <c r="BQ28" i="1"/>
  <c r="BY28" i="1" s="1"/>
  <c r="BP28" i="1"/>
  <c r="BX28" i="1" s="1"/>
  <c r="BO28" i="1"/>
  <c r="BW28" i="1" s="1"/>
  <c r="BN28" i="1"/>
  <c r="BV28" i="1" s="1"/>
  <c r="BM28" i="1"/>
  <c r="BU28" i="1" s="1"/>
  <c r="CA26" i="1"/>
  <c r="BQ26" i="1"/>
  <c r="BY26" i="1" s="1"/>
  <c r="BP26" i="1"/>
  <c r="BX26" i="1" s="1"/>
  <c r="BO26" i="1"/>
  <c r="BW26" i="1" s="1"/>
  <c r="BN26" i="1"/>
  <c r="BV26" i="1" s="1"/>
  <c r="BM26" i="1"/>
  <c r="CA25" i="1"/>
  <c r="BQ25" i="1"/>
  <c r="BY25" i="1" s="1"/>
  <c r="BP25" i="1"/>
  <c r="BX25" i="1" s="1"/>
  <c r="BO25" i="1"/>
  <c r="BW25" i="1" s="1"/>
  <c r="BN25" i="1"/>
  <c r="BV25" i="1" s="1"/>
  <c r="BM25" i="1"/>
  <c r="CA24" i="1"/>
  <c r="BQ24" i="1"/>
  <c r="BY24" i="1" s="1"/>
  <c r="BP24" i="1"/>
  <c r="BX24" i="1" s="1"/>
  <c r="BO24" i="1"/>
  <c r="BW24" i="1" s="1"/>
  <c r="BN24" i="1"/>
  <c r="BV24" i="1" s="1"/>
  <c r="BM24" i="1"/>
  <c r="CA23" i="1"/>
  <c r="BQ23" i="1"/>
  <c r="BY23" i="1" s="1"/>
  <c r="BP23" i="1"/>
  <c r="BX23" i="1" s="1"/>
  <c r="BO23" i="1"/>
  <c r="BW23" i="1" s="1"/>
  <c r="BN23" i="1"/>
  <c r="BV23" i="1" s="1"/>
  <c r="BM23" i="1"/>
  <c r="BU23" i="1" s="1"/>
  <c r="CA20" i="1"/>
  <c r="BQ20" i="1"/>
  <c r="BY20" i="1" s="1"/>
  <c r="BP20" i="1"/>
  <c r="BX20" i="1" s="1"/>
  <c r="BO20" i="1"/>
  <c r="BW20" i="1" s="1"/>
  <c r="BN20" i="1"/>
  <c r="BV20" i="1" s="1"/>
  <c r="BM20" i="1"/>
  <c r="BU20" i="1" s="1"/>
  <c r="CA18" i="1"/>
  <c r="BQ18" i="1"/>
  <c r="BY18" i="1" s="1"/>
  <c r="BP18" i="1"/>
  <c r="BX18" i="1" s="1"/>
  <c r="BO18" i="1"/>
  <c r="BW18" i="1" s="1"/>
  <c r="BN18" i="1"/>
  <c r="BV18" i="1" s="1"/>
  <c r="BM18" i="1"/>
  <c r="BU18" i="1" s="1"/>
  <c r="CA17" i="1"/>
  <c r="BQ17" i="1"/>
  <c r="BY17" i="1" s="1"/>
  <c r="BP17" i="1"/>
  <c r="BX17" i="1" s="1"/>
  <c r="BO17" i="1"/>
  <c r="BW17" i="1" s="1"/>
  <c r="BN17" i="1"/>
  <c r="BV17" i="1" s="1"/>
  <c r="BM17" i="1"/>
  <c r="CA15" i="1"/>
  <c r="BQ15" i="1"/>
  <c r="BY15" i="1" s="1"/>
  <c r="BP15" i="1"/>
  <c r="BX15" i="1" s="1"/>
  <c r="BO15" i="1"/>
  <c r="BW15" i="1" s="1"/>
  <c r="BN15" i="1"/>
  <c r="BV15" i="1" s="1"/>
  <c r="BM15" i="1"/>
  <c r="BU15" i="1" s="1"/>
  <c r="CA13" i="1"/>
  <c r="BQ13" i="1"/>
  <c r="BY13" i="1" s="1"/>
  <c r="BP13" i="1"/>
  <c r="BX13" i="1" s="1"/>
  <c r="BO13" i="1"/>
  <c r="BW13" i="1" s="1"/>
  <c r="BN13" i="1"/>
  <c r="BV13" i="1" s="1"/>
  <c r="BM13" i="1"/>
  <c r="CA12" i="1"/>
  <c r="BQ12" i="1"/>
  <c r="BY12" i="1" s="1"/>
  <c r="BP12" i="1"/>
  <c r="BX12" i="1" s="1"/>
  <c r="BO12" i="1"/>
  <c r="BW12" i="1" s="1"/>
  <c r="BN12" i="1"/>
  <c r="BV12" i="1" s="1"/>
  <c r="BM12" i="1"/>
  <c r="BU12" i="1" s="1"/>
  <c r="W8" i="1"/>
  <c r="AC8" i="1" s="1"/>
  <c r="AI8" i="1" s="1"/>
  <c r="AO8" i="1" s="1"/>
  <c r="BZ416" i="1" l="1"/>
  <c r="CA416" i="1"/>
  <c r="BM9" i="1"/>
  <c r="BN9" i="1" s="1"/>
  <c r="BO9" i="1" s="1"/>
  <c r="BP9" i="1" s="1"/>
  <c r="BQ9" i="1" s="1"/>
  <c r="BR9" i="1" s="1"/>
  <c r="BS9" i="1" s="1"/>
  <c r="BU9" i="1"/>
  <c r="BV9" i="1" s="1"/>
  <c r="BW9" i="1" s="1"/>
  <c r="BX9" i="1" s="1"/>
  <c r="BY9" i="1" s="1"/>
  <c r="BZ9" i="1" s="1"/>
  <c r="CA9" i="1" s="1"/>
  <c r="AU8" i="1"/>
  <c r="BA8" i="1" s="1"/>
  <c r="BV416" i="1"/>
  <c r="BW416" i="1"/>
  <c r="BY416" i="1"/>
  <c r="BX416" i="1"/>
  <c r="R12" i="1"/>
  <c r="S12" i="1" s="1"/>
  <c r="R15" i="1"/>
  <c r="S15" i="1" s="1"/>
  <c r="S14" i="1" s="1"/>
  <c r="R18" i="1"/>
  <c r="T18" i="1" s="1"/>
  <c r="R23" i="1"/>
  <c r="T23" i="1" s="1"/>
  <c r="P25" i="1"/>
  <c r="Q25" i="1" s="1"/>
  <c r="R28" i="1"/>
  <c r="T28" i="1" s="1"/>
  <c r="R30" i="1"/>
  <c r="T30" i="1" s="1"/>
  <c r="R36" i="1"/>
  <c r="T36" i="1" s="1"/>
  <c r="R41" i="1"/>
  <c r="S41" i="1" s="1"/>
  <c r="R45" i="1"/>
  <c r="T45" i="1" s="1"/>
  <c r="R54" i="1"/>
  <c r="T54" i="1" s="1"/>
  <c r="R59" i="1"/>
  <c r="T59" i="1" s="1"/>
  <c r="R61" i="1"/>
  <c r="T61" i="1" s="1"/>
  <c r="R71" i="1"/>
  <c r="T71" i="1" s="1"/>
  <c r="R92" i="1"/>
  <c r="S92" i="1" s="1"/>
  <c r="R126" i="1"/>
  <c r="S126" i="1" s="1"/>
  <c r="R201" i="1"/>
  <c r="T201" i="1" s="1"/>
  <c r="R316" i="1"/>
  <c r="T316" i="1" s="1"/>
  <c r="R397" i="1"/>
  <c r="T397" i="1" s="1"/>
  <c r="R79" i="1"/>
  <c r="T79" i="1" s="1"/>
  <c r="R376" i="1"/>
  <c r="T376" i="1" s="1"/>
  <c r="R385" i="1"/>
  <c r="T385" i="1" s="1"/>
  <c r="P231" i="1"/>
  <c r="Q231" i="1" s="1"/>
  <c r="P253" i="1"/>
  <c r="Q253" i="1" s="1"/>
  <c r="P282" i="1"/>
  <c r="Q282" i="1" s="1"/>
  <c r="P303" i="1"/>
  <c r="Q303" i="1" s="1"/>
  <c r="P385" i="1"/>
  <c r="Q385" i="1" s="1"/>
  <c r="P31" i="1"/>
  <c r="Q31" i="1" s="1"/>
  <c r="P92" i="1"/>
  <c r="Q92" i="1" s="1"/>
  <c r="P257" i="1"/>
  <c r="Q257" i="1" s="1"/>
  <c r="P41" i="1"/>
  <c r="Q41" i="1" s="1"/>
  <c r="P118" i="1"/>
  <c r="Q118" i="1" s="1"/>
  <c r="BU17" i="1"/>
  <c r="R17" i="1" s="1"/>
  <c r="P17" i="1"/>
  <c r="Q17" i="1" s="1"/>
  <c r="BU37" i="1"/>
  <c r="R37" i="1" s="1"/>
  <c r="T37" i="1" s="1"/>
  <c r="P37" i="1"/>
  <c r="Q37" i="1" s="1"/>
  <c r="BU49" i="1"/>
  <c r="R49" i="1" s="1"/>
  <c r="P49" i="1"/>
  <c r="Q49" i="1" s="1"/>
  <c r="BU60" i="1"/>
  <c r="R60" i="1" s="1"/>
  <c r="P60" i="1"/>
  <c r="Q60" i="1" s="1"/>
  <c r="BU65" i="1"/>
  <c r="R65" i="1" s="1"/>
  <c r="T65" i="1" s="1"/>
  <c r="P65" i="1"/>
  <c r="Q65" i="1" s="1"/>
  <c r="R20" i="1"/>
  <c r="S20" i="1" s="1"/>
  <c r="S19" i="1" s="1"/>
  <c r="R31" i="1"/>
  <c r="BU39" i="1"/>
  <c r="R39" i="1" s="1"/>
  <c r="T39" i="1" s="1"/>
  <c r="P39" i="1"/>
  <c r="Q39" i="1" s="1"/>
  <c r="BU44" i="1"/>
  <c r="R44" i="1" s="1"/>
  <c r="P44" i="1"/>
  <c r="Q44" i="1" s="1"/>
  <c r="BU47" i="1"/>
  <c r="R47" i="1" s="1"/>
  <c r="P47" i="1"/>
  <c r="Q47" i="1" s="1"/>
  <c r="BU51" i="1"/>
  <c r="R51" i="1" s="1"/>
  <c r="T51" i="1" s="1"/>
  <c r="P51" i="1"/>
  <c r="Q51" i="1" s="1"/>
  <c r="BU55" i="1"/>
  <c r="R55" i="1" s="1"/>
  <c r="P55" i="1"/>
  <c r="Q55" i="1" s="1"/>
  <c r="BU58" i="1"/>
  <c r="R58" i="1" s="1"/>
  <c r="T58" i="1" s="1"/>
  <c r="P58" i="1"/>
  <c r="Q58" i="1" s="1"/>
  <c r="R63" i="1"/>
  <c r="P54" i="1"/>
  <c r="Q54" i="1" s="1"/>
  <c r="BU13" i="1"/>
  <c r="R13" i="1" s="1"/>
  <c r="P13" i="1"/>
  <c r="Q13" i="1" s="1"/>
  <c r="BU24" i="1"/>
  <c r="R24" i="1" s="1"/>
  <c r="T24" i="1" s="1"/>
  <c r="P24" i="1"/>
  <c r="Q24" i="1" s="1"/>
  <c r="BU26" i="1"/>
  <c r="R26" i="1" s="1"/>
  <c r="P26" i="1"/>
  <c r="Q26" i="1" s="1"/>
  <c r="BU29" i="1"/>
  <c r="R29" i="1" s="1"/>
  <c r="P29" i="1"/>
  <c r="Q29" i="1" s="1"/>
  <c r="BU35" i="1"/>
  <c r="R35" i="1" s="1"/>
  <c r="P35" i="1"/>
  <c r="Q35" i="1" s="1"/>
  <c r="BU42" i="1"/>
  <c r="R42" i="1" s="1"/>
  <c r="P42" i="1"/>
  <c r="Q42" i="1" s="1"/>
  <c r="BU53" i="1"/>
  <c r="R53" i="1" s="1"/>
  <c r="T53" i="1" s="1"/>
  <c r="P53" i="1"/>
  <c r="Q53" i="1" s="1"/>
  <c r="P20" i="1"/>
  <c r="Q20" i="1" s="1"/>
  <c r="P61" i="1"/>
  <c r="Q61" i="1" s="1"/>
  <c r="P201" i="1"/>
  <c r="Q201" i="1" s="1"/>
  <c r="P23" i="1"/>
  <c r="Q23" i="1" s="1"/>
  <c r="P63" i="1"/>
  <c r="Q63" i="1" s="1"/>
  <c r="P72" i="1"/>
  <c r="Q72" i="1" s="1"/>
  <c r="P88" i="1"/>
  <c r="Q88" i="1" s="1"/>
  <c r="P114" i="1"/>
  <c r="Q114" i="1" s="1"/>
  <c r="P228" i="1"/>
  <c r="Q228" i="1" s="1"/>
  <c r="P279" i="1"/>
  <c r="Q279" i="1" s="1"/>
  <c r="P15" i="1"/>
  <c r="Q15" i="1" s="1"/>
  <c r="P28" i="1"/>
  <c r="Q28" i="1" s="1"/>
  <c r="P119" i="1"/>
  <c r="Q119" i="1" s="1"/>
  <c r="P179" i="1"/>
  <c r="Q179" i="1" s="1"/>
  <c r="P283" i="1"/>
  <c r="Q283" i="1" s="1"/>
  <c r="P310" i="1"/>
  <c r="Q310" i="1" s="1"/>
  <c r="P362" i="1"/>
  <c r="Q362" i="1" s="1"/>
  <c r="P184" i="1"/>
  <c r="Q184" i="1" s="1"/>
  <c r="P236" i="1"/>
  <c r="Q236" i="1" s="1"/>
  <c r="P340" i="1"/>
  <c r="Q340" i="1" s="1"/>
  <c r="BU67" i="1"/>
  <c r="R67" i="1" s="1"/>
  <c r="T67" i="1" s="1"/>
  <c r="P67" i="1"/>
  <c r="Q67" i="1" s="1"/>
  <c r="BU70" i="1"/>
  <c r="R70" i="1" s="1"/>
  <c r="P70" i="1"/>
  <c r="Q70" i="1" s="1"/>
  <c r="R72" i="1"/>
  <c r="BU75" i="1"/>
  <c r="R75" i="1" s="1"/>
  <c r="P75" i="1"/>
  <c r="Q75" i="1" s="1"/>
  <c r="BU77" i="1"/>
  <c r="R77" i="1" s="1"/>
  <c r="P77" i="1"/>
  <c r="Q77" i="1" s="1"/>
  <c r="BU82" i="1"/>
  <c r="R82" i="1" s="1"/>
  <c r="S82" i="1" s="1"/>
  <c r="P82" i="1"/>
  <c r="Q82" i="1" s="1"/>
  <c r="BU84" i="1"/>
  <c r="R84" i="1" s="1"/>
  <c r="P84" i="1"/>
  <c r="Q84" i="1" s="1"/>
  <c r="BU86" i="1"/>
  <c r="R86" i="1" s="1"/>
  <c r="P86" i="1"/>
  <c r="Q86" i="1" s="1"/>
  <c r="R88" i="1"/>
  <c r="BU91" i="1"/>
  <c r="R91" i="1" s="1"/>
  <c r="P91" i="1"/>
  <c r="Q91" i="1" s="1"/>
  <c r="BU93" i="1"/>
  <c r="R93" i="1" s="1"/>
  <c r="P93" i="1"/>
  <c r="Q93" i="1" s="1"/>
  <c r="BU95" i="1"/>
  <c r="R95" i="1" s="1"/>
  <c r="T95" i="1" s="1"/>
  <c r="P95" i="1"/>
  <c r="Q95" i="1" s="1"/>
  <c r="BU98" i="1"/>
  <c r="R98" i="1" s="1"/>
  <c r="P98" i="1"/>
  <c r="Q98" i="1" s="1"/>
  <c r="R100" i="1"/>
  <c r="T100" i="1" s="1"/>
  <c r="BU103" i="1"/>
  <c r="R103" i="1" s="1"/>
  <c r="P103" i="1"/>
  <c r="Q103" i="1" s="1"/>
  <c r="R105" i="1"/>
  <c r="BU107" i="1"/>
  <c r="R107" i="1" s="1"/>
  <c r="T107" i="1" s="1"/>
  <c r="P107" i="1"/>
  <c r="Q107" i="1" s="1"/>
  <c r="BU110" i="1"/>
  <c r="R110" i="1" s="1"/>
  <c r="T110" i="1" s="1"/>
  <c r="P110" i="1"/>
  <c r="Q110" i="1" s="1"/>
  <c r="BU112" i="1"/>
  <c r="R112" i="1" s="1"/>
  <c r="P112" i="1"/>
  <c r="Q112" i="1" s="1"/>
  <c r="R114" i="1"/>
  <c r="T114" i="1" s="1"/>
  <c r="BU117" i="1"/>
  <c r="R117" i="1" s="1"/>
  <c r="P117" i="1"/>
  <c r="Q117" i="1" s="1"/>
  <c r="R119" i="1"/>
  <c r="BU121" i="1"/>
  <c r="R121" i="1" s="1"/>
  <c r="T121" i="1" s="1"/>
  <c r="P121" i="1"/>
  <c r="Q121" i="1" s="1"/>
  <c r="BU123" i="1"/>
  <c r="R123" i="1" s="1"/>
  <c r="T123" i="1" s="1"/>
  <c r="P123" i="1"/>
  <c r="Q123" i="1" s="1"/>
  <c r="BU125" i="1"/>
  <c r="R125" i="1" s="1"/>
  <c r="P125" i="1"/>
  <c r="Q125" i="1" s="1"/>
  <c r="BU127" i="1"/>
  <c r="R127" i="1" s="1"/>
  <c r="T127" i="1" s="1"/>
  <c r="P127" i="1"/>
  <c r="Q127" i="1" s="1"/>
  <c r="BU130" i="1"/>
  <c r="R130" i="1" s="1"/>
  <c r="P130" i="1"/>
  <c r="Q130" i="1" s="1"/>
  <c r="BU133" i="1"/>
  <c r="R133" i="1" s="1"/>
  <c r="P133" i="1"/>
  <c r="Q133" i="1" s="1"/>
  <c r="BU136" i="1"/>
  <c r="R136" i="1" s="1"/>
  <c r="P136" i="1"/>
  <c r="Q136" i="1" s="1"/>
  <c r="BU138" i="1"/>
  <c r="R138" i="1" s="1"/>
  <c r="T138" i="1" s="1"/>
  <c r="P138" i="1"/>
  <c r="Q138" i="1" s="1"/>
  <c r="BU140" i="1"/>
  <c r="R140" i="1" s="1"/>
  <c r="P140" i="1"/>
  <c r="Q140" i="1" s="1"/>
  <c r="BU143" i="1"/>
  <c r="R143" i="1" s="1"/>
  <c r="T143" i="1" s="1"/>
  <c r="P143" i="1"/>
  <c r="Q143" i="1" s="1"/>
  <c r="BU145" i="1"/>
  <c r="R145" i="1" s="1"/>
  <c r="P145" i="1"/>
  <c r="Q145" i="1" s="1"/>
  <c r="BU148" i="1"/>
  <c r="R148" i="1" s="1"/>
  <c r="P148" i="1"/>
  <c r="Q148" i="1" s="1"/>
  <c r="R151" i="1"/>
  <c r="BU155" i="1"/>
  <c r="R155" i="1" s="1"/>
  <c r="T155" i="1" s="1"/>
  <c r="P155" i="1"/>
  <c r="Q155" i="1" s="1"/>
  <c r="BU158" i="1"/>
  <c r="R158" i="1" s="1"/>
  <c r="P158" i="1"/>
  <c r="Q158" i="1" s="1"/>
  <c r="BU161" i="1"/>
  <c r="R161" i="1" s="1"/>
  <c r="P161" i="1"/>
  <c r="Q161" i="1" s="1"/>
  <c r="BU164" i="1"/>
  <c r="R164" i="1" s="1"/>
  <c r="P164" i="1"/>
  <c r="Q164" i="1" s="1"/>
  <c r="BU167" i="1"/>
  <c r="R167" i="1" s="1"/>
  <c r="P167" i="1"/>
  <c r="Q167" i="1" s="1"/>
  <c r="BU170" i="1"/>
  <c r="R170" i="1" s="1"/>
  <c r="P170" i="1"/>
  <c r="Q170" i="1" s="1"/>
  <c r="BU173" i="1"/>
  <c r="R173" i="1" s="1"/>
  <c r="T173" i="1" s="1"/>
  <c r="P173" i="1"/>
  <c r="Q173" i="1" s="1"/>
  <c r="BU176" i="1"/>
  <c r="R176" i="1" s="1"/>
  <c r="P176" i="1"/>
  <c r="Q176" i="1" s="1"/>
  <c r="R179" i="1"/>
  <c r="T179" i="1" s="1"/>
  <c r="BU182" i="1"/>
  <c r="R182" i="1" s="1"/>
  <c r="P182" i="1"/>
  <c r="Q182" i="1" s="1"/>
  <c r="R185" i="1"/>
  <c r="BU189" i="1"/>
  <c r="R189" i="1" s="1"/>
  <c r="P189" i="1"/>
  <c r="Q189" i="1" s="1"/>
  <c r="BU191" i="1"/>
  <c r="R191" i="1" s="1"/>
  <c r="T191" i="1" s="1"/>
  <c r="P191" i="1"/>
  <c r="Q191" i="1" s="1"/>
  <c r="BU193" i="1"/>
  <c r="R193" i="1" s="1"/>
  <c r="P193" i="1"/>
  <c r="Q193" i="1" s="1"/>
  <c r="BU196" i="1"/>
  <c r="R196" i="1" s="1"/>
  <c r="P196" i="1"/>
  <c r="Q196" i="1" s="1"/>
  <c r="BU198" i="1"/>
  <c r="R198" i="1" s="1"/>
  <c r="P198" i="1"/>
  <c r="Q198" i="1" s="1"/>
  <c r="BU200" i="1"/>
  <c r="R200" i="1" s="1"/>
  <c r="P200" i="1"/>
  <c r="Q200" i="1" s="1"/>
  <c r="BU202" i="1"/>
  <c r="R202" i="1" s="1"/>
  <c r="P202" i="1"/>
  <c r="Q202" i="1" s="1"/>
  <c r="BU205" i="1"/>
  <c r="R205" i="1" s="1"/>
  <c r="T205" i="1" s="1"/>
  <c r="P205" i="1"/>
  <c r="Q205" i="1" s="1"/>
  <c r="P207" i="1"/>
  <c r="Q207" i="1" s="1"/>
  <c r="BU210" i="1"/>
  <c r="R210" i="1" s="1"/>
  <c r="T210" i="1" s="1"/>
  <c r="P210" i="1"/>
  <c r="Q210" i="1" s="1"/>
  <c r="BU212" i="1"/>
  <c r="R212" i="1" s="1"/>
  <c r="P212" i="1"/>
  <c r="Q212" i="1" s="1"/>
  <c r="BU214" i="1"/>
  <c r="R214" i="1" s="1"/>
  <c r="P214" i="1"/>
  <c r="Q214" i="1" s="1"/>
  <c r="BU217" i="1"/>
  <c r="R217" i="1" s="1"/>
  <c r="P217" i="1"/>
  <c r="Q217" i="1" s="1"/>
  <c r="R220" i="1"/>
  <c r="S220" i="1" s="1"/>
  <c r="BU222" i="1"/>
  <c r="R222" i="1" s="1"/>
  <c r="P222" i="1"/>
  <c r="Q222" i="1" s="1"/>
  <c r="BU224" i="1"/>
  <c r="R224" i="1" s="1"/>
  <c r="P224" i="1"/>
  <c r="Q224" i="1" s="1"/>
  <c r="BU226" i="1"/>
  <c r="R226" i="1" s="1"/>
  <c r="P226" i="1"/>
  <c r="Q226" i="1" s="1"/>
  <c r="BU229" i="1"/>
  <c r="R229" i="1" s="1"/>
  <c r="P229" i="1"/>
  <c r="Q229" i="1" s="1"/>
  <c r="R231" i="1"/>
  <c r="BU233" i="1"/>
  <c r="R233" i="1" s="1"/>
  <c r="T233" i="1" s="1"/>
  <c r="P233" i="1"/>
  <c r="Q233" i="1" s="1"/>
  <c r="R236" i="1"/>
  <c r="BU238" i="1"/>
  <c r="R238" i="1" s="1"/>
  <c r="T238" i="1" s="1"/>
  <c r="P238" i="1"/>
  <c r="Q238" i="1" s="1"/>
  <c r="R241" i="1"/>
  <c r="P243" i="1"/>
  <c r="Q243" i="1" s="1"/>
  <c r="BU246" i="1"/>
  <c r="R246" i="1" s="1"/>
  <c r="P246" i="1"/>
  <c r="Q246" i="1" s="1"/>
  <c r="BU248" i="1"/>
  <c r="R248" i="1" s="1"/>
  <c r="T248" i="1" s="1"/>
  <c r="P248" i="1"/>
  <c r="Q248" i="1" s="1"/>
  <c r="BU251" i="1"/>
  <c r="R251" i="1" s="1"/>
  <c r="P251" i="1"/>
  <c r="Q251" i="1" s="1"/>
  <c r="R253" i="1"/>
  <c r="BU256" i="1"/>
  <c r="R256" i="1" s="1"/>
  <c r="P256" i="1"/>
  <c r="Q256" i="1" s="1"/>
  <c r="BU258" i="1"/>
  <c r="R258" i="1" s="1"/>
  <c r="P258" i="1"/>
  <c r="Q258" i="1" s="1"/>
  <c r="BU260" i="1"/>
  <c r="R260" i="1" s="1"/>
  <c r="P260" i="1"/>
  <c r="Q260" i="1" s="1"/>
  <c r="BU263" i="1"/>
  <c r="R263" i="1" s="1"/>
  <c r="T263" i="1" s="1"/>
  <c r="P263" i="1"/>
  <c r="Q263" i="1" s="1"/>
  <c r="BU265" i="1"/>
  <c r="R265" i="1" s="1"/>
  <c r="P265" i="1"/>
  <c r="Q265" i="1" s="1"/>
  <c r="BU268" i="1"/>
  <c r="R268" i="1" s="1"/>
  <c r="T268" i="1" s="1"/>
  <c r="P268" i="1"/>
  <c r="Q268" i="1" s="1"/>
  <c r="R270" i="1"/>
  <c r="BU272" i="1"/>
  <c r="R272" i="1" s="1"/>
  <c r="P272" i="1"/>
  <c r="Q272" i="1" s="1"/>
  <c r="BU275" i="1"/>
  <c r="R275" i="1" s="1"/>
  <c r="P275" i="1"/>
  <c r="Q275" i="1" s="1"/>
  <c r="BU277" i="1"/>
  <c r="R277" i="1" s="1"/>
  <c r="T277" i="1" s="1"/>
  <c r="P277" i="1"/>
  <c r="Q277" i="1" s="1"/>
  <c r="BU280" i="1"/>
  <c r="R280" i="1" s="1"/>
  <c r="P280" i="1"/>
  <c r="Q280" i="1" s="1"/>
  <c r="R282" i="1"/>
  <c r="S282" i="1" s="1"/>
  <c r="BU285" i="1"/>
  <c r="R285" i="1" s="1"/>
  <c r="P285" i="1"/>
  <c r="Q285" i="1" s="1"/>
  <c r="R287" i="1"/>
  <c r="BU289" i="1"/>
  <c r="R289" i="1" s="1"/>
  <c r="P289" i="1"/>
  <c r="Q289" i="1" s="1"/>
  <c r="BU292" i="1"/>
  <c r="R292" i="1" s="1"/>
  <c r="T292" i="1" s="1"/>
  <c r="P292" i="1"/>
  <c r="Q292" i="1" s="1"/>
  <c r="BU294" i="1"/>
  <c r="R294" i="1" s="1"/>
  <c r="P294" i="1"/>
  <c r="Q294" i="1" s="1"/>
  <c r="BU296" i="1"/>
  <c r="R296" i="1" s="1"/>
  <c r="S296" i="1" s="1"/>
  <c r="P296" i="1"/>
  <c r="Q296" i="1" s="1"/>
  <c r="BU298" i="1"/>
  <c r="R298" i="1" s="1"/>
  <c r="P298" i="1"/>
  <c r="Q298" i="1" s="1"/>
  <c r="BU301" i="1"/>
  <c r="R301" i="1" s="1"/>
  <c r="P301" i="1"/>
  <c r="Q301" i="1" s="1"/>
  <c r="R303" i="1"/>
  <c r="BU306" i="1"/>
  <c r="R306" i="1" s="1"/>
  <c r="P306" i="1"/>
  <c r="Q306" i="1" s="1"/>
  <c r="BU308" i="1"/>
  <c r="R308" i="1" s="1"/>
  <c r="P308" i="1"/>
  <c r="Q308" i="1" s="1"/>
  <c r="BU311" i="1"/>
  <c r="R311" i="1" s="1"/>
  <c r="S311" i="1" s="1"/>
  <c r="P311" i="1"/>
  <c r="Q311" i="1" s="1"/>
  <c r="BU313" i="1"/>
  <c r="R313" i="1" s="1"/>
  <c r="P313" i="1"/>
  <c r="Q313" i="1" s="1"/>
  <c r="BU315" i="1"/>
  <c r="R315" i="1" s="1"/>
  <c r="P315" i="1"/>
  <c r="Q315" i="1" s="1"/>
  <c r="BU317" i="1"/>
  <c r="R317" i="1" s="1"/>
  <c r="P317" i="1"/>
  <c r="Q317" i="1" s="1"/>
  <c r="BU319" i="1"/>
  <c r="R319" i="1" s="1"/>
  <c r="T319" i="1" s="1"/>
  <c r="P319" i="1"/>
  <c r="Q319" i="1" s="1"/>
  <c r="R322" i="1"/>
  <c r="BU325" i="1"/>
  <c r="R325" i="1" s="1"/>
  <c r="P325" i="1"/>
  <c r="Q325" i="1" s="1"/>
  <c r="BU327" i="1"/>
  <c r="R327" i="1" s="1"/>
  <c r="P327" i="1"/>
  <c r="Q327" i="1" s="1"/>
  <c r="BU330" i="1"/>
  <c r="R330" i="1" s="1"/>
  <c r="P330" i="1"/>
  <c r="Q330" i="1" s="1"/>
  <c r="BU332" i="1"/>
  <c r="R332" i="1" s="1"/>
  <c r="P332" i="1"/>
  <c r="Q332" i="1" s="1"/>
  <c r="BU335" i="1"/>
  <c r="R335" i="1" s="1"/>
  <c r="T335" i="1" s="1"/>
  <c r="P335" i="1"/>
  <c r="Q335" i="1" s="1"/>
  <c r="BU337" i="1"/>
  <c r="R337" i="1" s="1"/>
  <c r="P337" i="1"/>
  <c r="Q337" i="1" s="1"/>
  <c r="R340" i="1"/>
  <c r="T340" i="1" s="1"/>
  <c r="BU342" i="1"/>
  <c r="R342" i="1" s="1"/>
  <c r="P342" i="1"/>
  <c r="Q342" i="1" s="1"/>
  <c r="R344" i="1"/>
  <c r="BU347" i="1"/>
  <c r="R347" i="1" s="1"/>
  <c r="P347" i="1"/>
  <c r="Q347" i="1" s="1"/>
  <c r="BU349" i="1"/>
  <c r="R349" i="1" s="1"/>
  <c r="T349" i="1" s="1"/>
  <c r="P349" i="1"/>
  <c r="Q349" i="1" s="1"/>
  <c r="BU351" i="1"/>
  <c r="R351" i="1" s="1"/>
  <c r="P351" i="1"/>
  <c r="Q351" i="1" s="1"/>
  <c r="BU354" i="1"/>
  <c r="R354" i="1" s="1"/>
  <c r="P354" i="1"/>
  <c r="Q354" i="1" s="1"/>
  <c r="BU358" i="1"/>
  <c r="R358" i="1" s="1"/>
  <c r="P358" i="1"/>
  <c r="Q358" i="1" s="1"/>
  <c r="BU360" i="1"/>
  <c r="R360" i="1" s="1"/>
  <c r="P360" i="1"/>
  <c r="Q360" i="1" s="1"/>
  <c r="R362" i="1"/>
  <c r="BU364" i="1"/>
  <c r="R364" i="1" s="1"/>
  <c r="T364" i="1" s="1"/>
  <c r="P364" i="1"/>
  <c r="Q364" i="1" s="1"/>
  <c r="BU367" i="1"/>
  <c r="R367" i="1" s="1"/>
  <c r="P367" i="1"/>
  <c r="Q367" i="1" s="1"/>
  <c r="BU371" i="1"/>
  <c r="R371" i="1" s="1"/>
  <c r="T371" i="1" s="1"/>
  <c r="P371" i="1"/>
  <c r="Q371" i="1" s="1"/>
  <c r="BU374" i="1"/>
  <c r="R374" i="1" s="1"/>
  <c r="P374" i="1"/>
  <c r="Q374" i="1" s="1"/>
  <c r="BU378" i="1"/>
  <c r="R378" i="1" s="1"/>
  <c r="P378" i="1"/>
  <c r="Q378" i="1" s="1"/>
  <c r="R380" i="1"/>
  <c r="T380" i="1" s="1"/>
  <c r="BU383" i="1"/>
  <c r="R383" i="1" s="1"/>
  <c r="P383" i="1"/>
  <c r="Q383" i="1" s="1"/>
  <c r="BU387" i="1"/>
  <c r="R387" i="1" s="1"/>
  <c r="P387" i="1"/>
  <c r="Q387" i="1" s="1"/>
  <c r="BU389" i="1"/>
  <c r="R389" i="1" s="1"/>
  <c r="P389" i="1"/>
  <c r="Q389" i="1" s="1"/>
  <c r="BU392" i="1"/>
  <c r="R392" i="1" s="1"/>
  <c r="P392" i="1"/>
  <c r="Q392" i="1" s="1"/>
  <c r="BU394" i="1"/>
  <c r="R394" i="1" s="1"/>
  <c r="T394" i="1" s="1"/>
  <c r="P394" i="1"/>
  <c r="Q394" i="1" s="1"/>
  <c r="BU396" i="1"/>
  <c r="R396" i="1" s="1"/>
  <c r="T396" i="1" s="1"/>
  <c r="P396" i="1"/>
  <c r="Q396" i="1" s="1"/>
  <c r="BU398" i="1"/>
  <c r="R398" i="1" s="1"/>
  <c r="S398" i="1" s="1"/>
  <c r="P398" i="1"/>
  <c r="Q398" i="1" s="1"/>
  <c r="BU401" i="1"/>
  <c r="R401" i="1" s="1"/>
  <c r="P401" i="1"/>
  <c r="Q401" i="1" s="1"/>
  <c r="BU404" i="1"/>
  <c r="R404" i="1" s="1"/>
  <c r="P404" i="1"/>
  <c r="Q404" i="1" s="1"/>
  <c r="R409" i="1"/>
  <c r="BU412" i="1"/>
  <c r="R412" i="1" s="1"/>
  <c r="P412" i="1"/>
  <c r="Q412" i="1" s="1"/>
  <c r="BU25" i="1"/>
  <c r="R25" i="1" s="1"/>
  <c r="T25" i="1" s="1"/>
  <c r="P79" i="1"/>
  <c r="Q79" i="1" s="1"/>
  <c r="P151" i="1"/>
  <c r="Q151" i="1" s="1"/>
  <c r="P185" i="1"/>
  <c r="Q185" i="1" s="1"/>
  <c r="P262" i="1"/>
  <c r="Q262" i="1" s="1"/>
  <c r="P287" i="1"/>
  <c r="Q287" i="1" s="1"/>
  <c r="P341" i="1"/>
  <c r="Q341" i="1" s="1"/>
  <c r="P393" i="1"/>
  <c r="Q393" i="1" s="1"/>
  <c r="P100" i="1"/>
  <c r="Q100" i="1" s="1"/>
  <c r="P126" i="1"/>
  <c r="Q126" i="1" s="1"/>
  <c r="P291" i="1"/>
  <c r="Q291" i="1" s="1"/>
  <c r="P316" i="1"/>
  <c r="Q316" i="1" s="1"/>
  <c r="P397" i="1"/>
  <c r="Q397" i="1" s="1"/>
  <c r="P36" i="1"/>
  <c r="Q36" i="1" s="1"/>
  <c r="P50" i="1"/>
  <c r="Q50" i="1" s="1"/>
  <c r="P80" i="1"/>
  <c r="Q80" i="1" s="1"/>
  <c r="P101" i="1"/>
  <c r="Q101" i="1" s="1"/>
  <c r="P241" i="1"/>
  <c r="Q241" i="1" s="1"/>
  <c r="P344" i="1"/>
  <c r="Q344" i="1" s="1"/>
  <c r="P105" i="1"/>
  <c r="Q105" i="1" s="1"/>
  <c r="P163" i="1"/>
  <c r="Q163" i="1" s="1"/>
  <c r="P320" i="1"/>
  <c r="Q320" i="1" s="1"/>
  <c r="P348" i="1"/>
  <c r="Q348" i="1" s="1"/>
  <c r="P376" i="1"/>
  <c r="Q376" i="1" s="1"/>
  <c r="BU207" i="1"/>
  <c r="R207" i="1" s="1"/>
  <c r="P18" i="1"/>
  <c r="Q18" i="1" s="1"/>
  <c r="P52" i="1"/>
  <c r="Q52" i="1" s="1"/>
  <c r="P59" i="1"/>
  <c r="Q59" i="1" s="1"/>
  <c r="P71" i="1"/>
  <c r="Q71" i="1" s="1"/>
  <c r="P131" i="1"/>
  <c r="Q131" i="1" s="1"/>
  <c r="P194" i="1"/>
  <c r="Q194" i="1" s="1"/>
  <c r="P220" i="1"/>
  <c r="Q220" i="1" s="1"/>
  <c r="P270" i="1"/>
  <c r="Q270" i="1" s="1"/>
  <c r="P322" i="1"/>
  <c r="Q322" i="1" s="1"/>
  <c r="BU243" i="1"/>
  <c r="R243" i="1" s="1"/>
  <c r="P30" i="1"/>
  <c r="Q30" i="1" s="1"/>
  <c r="P45" i="1"/>
  <c r="Q45" i="1" s="1"/>
  <c r="BU32" i="1"/>
  <c r="R32" i="1" s="1"/>
  <c r="T32" i="1" s="1"/>
  <c r="P32" i="1"/>
  <c r="Q32" i="1" s="1"/>
  <c r="BU38" i="1"/>
  <c r="R38" i="1" s="1"/>
  <c r="P38" i="1"/>
  <c r="Q38" i="1" s="1"/>
  <c r="BU43" i="1"/>
  <c r="R43" i="1" s="1"/>
  <c r="P43" i="1"/>
  <c r="Q43" i="1" s="1"/>
  <c r="BU48" i="1"/>
  <c r="R48" i="1" s="1"/>
  <c r="T48" i="1" s="1"/>
  <c r="P48" i="1"/>
  <c r="Q48" i="1" s="1"/>
  <c r="R50" i="1"/>
  <c r="T50" i="1" s="1"/>
  <c r="R52" i="1"/>
  <c r="BU57" i="1"/>
  <c r="R57" i="1" s="1"/>
  <c r="P57" i="1"/>
  <c r="Q57" i="1" s="1"/>
  <c r="BU64" i="1"/>
  <c r="R64" i="1" s="1"/>
  <c r="S64" i="1" s="1"/>
  <c r="P64" i="1"/>
  <c r="Q64" i="1" s="1"/>
  <c r="BU66" i="1"/>
  <c r="R66" i="1" s="1"/>
  <c r="P66" i="1"/>
  <c r="Q66" i="1" s="1"/>
  <c r="BU69" i="1"/>
  <c r="R69" i="1" s="1"/>
  <c r="S69" i="1" s="1"/>
  <c r="P69" i="1"/>
  <c r="Q69" i="1" s="1"/>
  <c r="BU73" i="1"/>
  <c r="R73" i="1" s="1"/>
  <c r="P73" i="1"/>
  <c r="Q73" i="1" s="1"/>
  <c r="BU76" i="1"/>
  <c r="R76" i="1" s="1"/>
  <c r="T76" i="1" s="1"/>
  <c r="P76" i="1"/>
  <c r="Q76" i="1" s="1"/>
  <c r="BU78" i="1"/>
  <c r="R78" i="1" s="1"/>
  <c r="T78" i="1" s="1"/>
  <c r="P78" i="1"/>
  <c r="Q78" i="1" s="1"/>
  <c r="R80" i="1"/>
  <c r="BU83" i="1"/>
  <c r="R83" i="1" s="1"/>
  <c r="T83" i="1" s="1"/>
  <c r="P83" i="1"/>
  <c r="Q83" i="1" s="1"/>
  <c r="BU85" i="1"/>
  <c r="R85" i="1" s="1"/>
  <c r="P85" i="1"/>
  <c r="Q85" i="1" s="1"/>
  <c r="BU87" i="1"/>
  <c r="R87" i="1" s="1"/>
  <c r="P87" i="1"/>
  <c r="Q87" i="1" s="1"/>
  <c r="BU89" i="1"/>
  <c r="R89" i="1" s="1"/>
  <c r="T89" i="1" s="1"/>
  <c r="P89" i="1"/>
  <c r="Q89" i="1" s="1"/>
  <c r="BU94" i="1"/>
  <c r="R94" i="1" s="1"/>
  <c r="P94" i="1"/>
  <c r="Q94" i="1" s="1"/>
  <c r="BU96" i="1"/>
  <c r="R96" i="1" s="1"/>
  <c r="T96" i="1" s="1"/>
  <c r="P96" i="1"/>
  <c r="Q96" i="1" s="1"/>
  <c r="BU99" i="1"/>
  <c r="R99" i="1" s="1"/>
  <c r="P99" i="1"/>
  <c r="Q99" i="1" s="1"/>
  <c r="R101" i="1"/>
  <c r="BU104" i="1"/>
  <c r="R104" i="1" s="1"/>
  <c r="T104" i="1" s="1"/>
  <c r="P104" i="1"/>
  <c r="Q104" i="1" s="1"/>
  <c r="BU106" i="1"/>
  <c r="R106" i="1" s="1"/>
  <c r="S106" i="1" s="1"/>
  <c r="P106" i="1"/>
  <c r="Q106" i="1" s="1"/>
  <c r="BU109" i="1"/>
  <c r="R109" i="1" s="1"/>
  <c r="P109" i="1"/>
  <c r="Q109" i="1" s="1"/>
  <c r="BU111" i="1"/>
  <c r="R111" i="1" s="1"/>
  <c r="T111" i="1" s="1"/>
  <c r="P111" i="1"/>
  <c r="Q111" i="1" s="1"/>
  <c r="BU113" i="1"/>
  <c r="R113" i="1" s="1"/>
  <c r="P113" i="1"/>
  <c r="Q113" i="1" s="1"/>
  <c r="BU116" i="1"/>
  <c r="R116" i="1" s="1"/>
  <c r="P116" i="1"/>
  <c r="Q116" i="1" s="1"/>
  <c r="R118" i="1"/>
  <c r="T118" i="1" s="1"/>
  <c r="BU120" i="1"/>
  <c r="R120" i="1" s="1"/>
  <c r="T120" i="1" s="1"/>
  <c r="P120" i="1"/>
  <c r="Q120" i="1" s="1"/>
  <c r="BU122" i="1"/>
  <c r="R122" i="1" s="1"/>
  <c r="P122" i="1"/>
  <c r="Q122" i="1" s="1"/>
  <c r="BU124" i="1"/>
  <c r="R124" i="1" s="1"/>
  <c r="T124" i="1" s="1"/>
  <c r="P124" i="1"/>
  <c r="Q124" i="1" s="1"/>
  <c r="BU128" i="1"/>
  <c r="R128" i="1" s="1"/>
  <c r="P128" i="1"/>
  <c r="Q128" i="1" s="1"/>
  <c r="R131" i="1"/>
  <c r="T131" i="1" s="1"/>
  <c r="BU134" i="1"/>
  <c r="R134" i="1" s="1"/>
  <c r="S134" i="1" s="1"/>
  <c r="P134" i="1"/>
  <c r="Q134" i="1" s="1"/>
  <c r="BU137" i="1"/>
  <c r="R137" i="1" s="1"/>
  <c r="P137" i="1"/>
  <c r="Q137" i="1" s="1"/>
  <c r="BU139" i="1"/>
  <c r="R139" i="1" s="1"/>
  <c r="T139" i="1" s="1"/>
  <c r="P139" i="1"/>
  <c r="Q139" i="1" s="1"/>
  <c r="BU142" i="1"/>
  <c r="R142" i="1" s="1"/>
  <c r="P142" i="1"/>
  <c r="Q142" i="1" s="1"/>
  <c r="BU144" i="1"/>
  <c r="R144" i="1" s="1"/>
  <c r="P144" i="1"/>
  <c r="Q144" i="1" s="1"/>
  <c r="BU146" i="1"/>
  <c r="R146" i="1" s="1"/>
  <c r="T146" i="1" s="1"/>
  <c r="P146" i="1"/>
  <c r="Q146" i="1" s="1"/>
  <c r="BU149" i="1"/>
  <c r="R149" i="1" s="1"/>
  <c r="T149" i="1" s="1"/>
  <c r="P149" i="1"/>
  <c r="Q149" i="1" s="1"/>
  <c r="BU154" i="1"/>
  <c r="R154" i="1" s="1"/>
  <c r="P154" i="1"/>
  <c r="Q154" i="1" s="1"/>
  <c r="BU157" i="1"/>
  <c r="R157" i="1" s="1"/>
  <c r="S157" i="1" s="1"/>
  <c r="P157" i="1"/>
  <c r="Q157" i="1" s="1"/>
  <c r="BU160" i="1"/>
  <c r="R160" i="1" s="1"/>
  <c r="P160" i="1"/>
  <c r="Q160" i="1" s="1"/>
  <c r="R163" i="1"/>
  <c r="BU166" i="1"/>
  <c r="R166" i="1" s="1"/>
  <c r="P166" i="1"/>
  <c r="Q166" i="1" s="1"/>
  <c r="BU169" i="1"/>
  <c r="R169" i="1" s="1"/>
  <c r="S169" i="1" s="1"/>
  <c r="P169" i="1"/>
  <c r="Q169" i="1" s="1"/>
  <c r="BU172" i="1"/>
  <c r="R172" i="1" s="1"/>
  <c r="P172" i="1"/>
  <c r="Q172" i="1" s="1"/>
  <c r="BU175" i="1"/>
  <c r="R175" i="1" s="1"/>
  <c r="P175" i="1"/>
  <c r="Q175" i="1" s="1"/>
  <c r="BU178" i="1"/>
  <c r="R178" i="1" s="1"/>
  <c r="P178" i="1"/>
  <c r="Q178" i="1" s="1"/>
  <c r="BU181" i="1"/>
  <c r="R181" i="1" s="1"/>
  <c r="P181" i="1"/>
  <c r="Q181" i="1" s="1"/>
  <c r="R184" i="1"/>
  <c r="BU188" i="1"/>
  <c r="R188" i="1" s="1"/>
  <c r="S188" i="1" s="1"/>
  <c r="P188" i="1"/>
  <c r="Q188" i="1" s="1"/>
  <c r="BU190" i="1"/>
  <c r="R190" i="1" s="1"/>
  <c r="P190" i="1"/>
  <c r="Q190" i="1" s="1"/>
  <c r="BU192" i="1"/>
  <c r="R192" i="1" s="1"/>
  <c r="T192" i="1" s="1"/>
  <c r="P192" i="1"/>
  <c r="Q192" i="1" s="1"/>
  <c r="R194" i="1"/>
  <c r="BU197" i="1"/>
  <c r="R197" i="1" s="1"/>
  <c r="P197" i="1"/>
  <c r="Q197" i="1" s="1"/>
  <c r="BU199" i="1"/>
  <c r="R199" i="1" s="1"/>
  <c r="T199" i="1" s="1"/>
  <c r="P199" i="1"/>
  <c r="Q199" i="1" s="1"/>
  <c r="BU204" i="1"/>
  <c r="R204" i="1" s="1"/>
  <c r="P204" i="1"/>
  <c r="Q204" i="1" s="1"/>
  <c r="BU206" i="1"/>
  <c r="R206" i="1" s="1"/>
  <c r="T206" i="1" s="1"/>
  <c r="P206" i="1"/>
  <c r="Q206" i="1" s="1"/>
  <c r="BU209" i="1"/>
  <c r="R209" i="1" s="1"/>
  <c r="P209" i="1"/>
  <c r="Q209" i="1" s="1"/>
  <c r="BU211" i="1"/>
  <c r="R211" i="1" s="1"/>
  <c r="P211" i="1"/>
  <c r="Q211" i="1" s="1"/>
  <c r="BU213" i="1"/>
  <c r="R213" i="1" s="1"/>
  <c r="T213" i="1" s="1"/>
  <c r="P213" i="1"/>
  <c r="Q213" i="1" s="1"/>
  <c r="BU216" i="1"/>
  <c r="R216" i="1" s="1"/>
  <c r="P216" i="1"/>
  <c r="Q216" i="1" s="1"/>
  <c r="BU218" i="1"/>
  <c r="R218" i="1" s="1"/>
  <c r="P218" i="1"/>
  <c r="Q218" i="1" s="1"/>
  <c r="BU221" i="1"/>
  <c r="R221" i="1" s="1"/>
  <c r="T221" i="1" s="1"/>
  <c r="P221" i="1"/>
  <c r="Q221" i="1" s="1"/>
  <c r="BU223" i="1"/>
  <c r="R223" i="1" s="1"/>
  <c r="P223" i="1"/>
  <c r="Q223" i="1" s="1"/>
  <c r="BU225" i="1"/>
  <c r="R225" i="1" s="1"/>
  <c r="P225" i="1"/>
  <c r="Q225" i="1" s="1"/>
  <c r="R228" i="1"/>
  <c r="BU230" i="1"/>
  <c r="R230" i="1" s="1"/>
  <c r="T230" i="1" s="1"/>
  <c r="P230" i="1"/>
  <c r="Q230" i="1" s="1"/>
  <c r="BU232" i="1"/>
  <c r="R232" i="1" s="1"/>
  <c r="P232" i="1"/>
  <c r="Q232" i="1" s="1"/>
  <c r="BU235" i="1"/>
  <c r="R235" i="1" s="1"/>
  <c r="P235" i="1"/>
  <c r="Q235" i="1" s="1"/>
  <c r="BU237" i="1"/>
  <c r="R237" i="1" s="1"/>
  <c r="P237" i="1"/>
  <c r="Q237" i="1" s="1"/>
  <c r="BU240" i="1"/>
  <c r="R240" i="1" s="1"/>
  <c r="P240" i="1"/>
  <c r="Q240" i="1" s="1"/>
  <c r="BU242" i="1"/>
  <c r="R242" i="1" s="1"/>
  <c r="T242" i="1" s="1"/>
  <c r="P242" i="1"/>
  <c r="Q242" i="1" s="1"/>
  <c r="BU244" i="1"/>
  <c r="R244" i="1" s="1"/>
  <c r="T244" i="1" s="1"/>
  <c r="P244" i="1"/>
  <c r="Q244" i="1" s="1"/>
  <c r="BU247" i="1"/>
  <c r="R247" i="1" s="1"/>
  <c r="P247" i="1"/>
  <c r="Q247" i="1" s="1"/>
  <c r="R249" i="1"/>
  <c r="T249" i="1" s="1"/>
  <c r="BU252" i="1"/>
  <c r="R252" i="1" s="1"/>
  <c r="P252" i="1"/>
  <c r="Q252" i="1" s="1"/>
  <c r="BU254" i="1"/>
  <c r="R254" i="1" s="1"/>
  <c r="P254" i="1"/>
  <c r="Q254" i="1" s="1"/>
  <c r="R257" i="1"/>
  <c r="BU259" i="1"/>
  <c r="R259" i="1" s="1"/>
  <c r="T259" i="1" s="1"/>
  <c r="P259" i="1"/>
  <c r="Q259" i="1" s="1"/>
  <c r="R262" i="1"/>
  <c r="BU264" i="1"/>
  <c r="R264" i="1" s="1"/>
  <c r="T264" i="1" s="1"/>
  <c r="P264" i="1"/>
  <c r="Q264" i="1" s="1"/>
  <c r="BU267" i="1"/>
  <c r="R267" i="1" s="1"/>
  <c r="P267" i="1"/>
  <c r="Q267" i="1" s="1"/>
  <c r="BU269" i="1"/>
  <c r="R269" i="1" s="1"/>
  <c r="P269" i="1"/>
  <c r="Q269" i="1" s="1"/>
  <c r="BU271" i="1"/>
  <c r="R271" i="1" s="1"/>
  <c r="P271" i="1"/>
  <c r="Q271" i="1" s="1"/>
  <c r="BU274" i="1"/>
  <c r="R274" i="1" s="1"/>
  <c r="P274" i="1"/>
  <c r="Q274" i="1" s="1"/>
  <c r="BU276" i="1"/>
  <c r="R276" i="1" s="1"/>
  <c r="P276" i="1"/>
  <c r="Q276" i="1" s="1"/>
  <c r="R279" i="1"/>
  <c r="BU281" i="1"/>
  <c r="R281" i="1" s="1"/>
  <c r="P281" i="1"/>
  <c r="Q281" i="1" s="1"/>
  <c r="R283" i="1"/>
  <c r="BU286" i="1"/>
  <c r="R286" i="1" s="1"/>
  <c r="P286" i="1"/>
  <c r="Q286" i="1" s="1"/>
  <c r="BU288" i="1"/>
  <c r="R288" i="1" s="1"/>
  <c r="T288" i="1" s="1"/>
  <c r="P288" i="1"/>
  <c r="Q288" i="1" s="1"/>
  <c r="R291" i="1"/>
  <c r="BU293" i="1"/>
  <c r="R293" i="1" s="1"/>
  <c r="T293" i="1" s="1"/>
  <c r="P293" i="1"/>
  <c r="Q293" i="1" s="1"/>
  <c r="BU295" i="1"/>
  <c r="R295" i="1" s="1"/>
  <c r="P295" i="1"/>
  <c r="Q295" i="1" s="1"/>
  <c r="BU297" i="1"/>
  <c r="R297" i="1" s="1"/>
  <c r="P297" i="1"/>
  <c r="Q297" i="1" s="1"/>
  <c r="R299" i="1"/>
  <c r="BU302" i="1"/>
  <c r="R302" i="1" s="1"/>
  <c r="T302" i="1" s="1"/>
  <c r="P302" i="1"/>
  <c r="Q302" i="1" s="1"/>
  <c r="BU304" i="1"/>
  <c r="R304" i="1" s="1"/>
  <c r="P304" i="1"/>
  <c r="Q304" i="1" s="1"/>
  <c r="BU307" i="1"/>
  <c r="R307" i="1" s="1"/>
  <c r="T307" i="1" s="1"/>
  <c r="P307" i="1"/>
  <c r="Q307" i="1" s="1"/>
  <c r="R310" i="1"/>
  <c r="BU312" i="1"/>
  <c r="R312" i="1" s="1"/>
  <c r="P312" i="1"/>
  <c r="Q312" i="1" s="1"/>
  <c r="BU314" i="1"/>
  <c r="R314" i="1" s="1"/>
  <c r="P314" i="1"/>
  <c r="Q314" i="1" s="1"/>
  <c r="BU318" i="1"/>
  <c r="R318" i="1" s="1"/>
  <c r="P318" i="1"/>
  <c r="Q318" i="1" s="1"/>
  <c r="R320" i="1"/>
  <c r="T320" i="1" s="1"/>
  <c r="BU323" i="1"/>
  <c r="R323" i="1" s="1"/>
  <c r="P323" i="1"/>
  <c r="Q323" i="1" s="1"/>
  <c r="BU326" i="1"/>
  <c r="R326" i="1" s="1"/>
  <c r="P326" i="1"/>
  <c r="Q326" i="1" s="1"/>
  <c r="BU328" i="1"/>
  <c r="R328" i="1" s="1"/>
  <c r="P328" i="1"/>
  <c r="Q328" i="1" s="1"/>
  <c r="BU331" i="1"/>
  <c r="R331" i="1" s="1"/>
  <c r="T331" i="1" s="1"/>
  <c r="P331" i="1"/>
  <c r="Q331" i="1" s="1"/>
  <c r="BU334" i="1"/>
  <c r="R334" i="1" s="1"/>
  <c r="P334" i="1"/>
  <c r="Q334" i="1" s="1"/>
  <c r="BU336" i="1"/>
  <c r="R336" i="1" s="1"/>
  <c r="T336" i="1" s="1"/>
  <c r="P336" i="1"/>
  <c r="Q336" i="1" s="1"/>
  <c r="BU339" i="1"/>
  <c r="R339" i="1" s="1"/>
  <c r="P339" i="1"/>
  <c r="Q339" i="1" s="1"/>
  <c r="R341" i="1"/>
  <c r="BU343" i="1"/>
  <c r="R343" i="1" s="1"/>
  <c r="P343" i="1"/>
  <c r="Q343" i="1" s="1"/>
  <c r="BU346" i="1"/>
  <c r="R346" i="1" s="1"/>
  <c r="P346" i="1"/>
  <c r="Q346" i="1" s="1"/>
  <c r="R348" i="1"/>
  <c r="BU350" i="1"/>
  <c r="R350" i="1" s="1"/>
  <c r="T350" i="1" s="1"/>
  <c r="P350" i="1"/>
  <c r="Q350" i="1" s="1"/>
  <c r="BU352" i="1"/>
  <c r="R352" i="1" s="1"/>
  <c r="P352" i="1"/>
  <c r="Q352" i="1" s="1"/>
  <c r="BU356" i="1"/>
  <c r="R356" i="1" s="1"/>
  <c r="R355" i="1" s="1"/>
  <c r="T355" i="1" s="1"/>
  <c r="P356" i="1"/>
  <c r="Q356" i="1" s="1"/>
  <c r="BU359" i="1"/>
  <c r="R359" i="1" s="1"/>
  <c r="P359" i="1"/>
  <c r="Q359" i="1" s="1"/>
  <c r="BU361" i="1"/>
  <c r="R361" i="1" s="1"/>
  <c r="T361" i="1" s="1"/>
  <c r="P361" i="1"/>
  <c r="Q361" i="1" s="1"/>
  <c r="BU363" i="1"/>
  <c r="R363" i="1" s="1"/>
  <c r="P363" i="1"/>
  <c r="Q363" i="1" s="1"/>
  <c r="BU366" i="1"/>
  <c r="R366" i="1" s="1"/>
  <c r="P366" i="1"/>
  <c r="Q366" i="1" s="1"/>
  <c r="BU370" i="1"/>
  <c r="R370" i="1" s="1"/>
  <c r="P370" i="1"/>
  <c r="Q370" i="1" s="1"/>
  <c r="BU372" i="1"/>
  <c r="R372" i="1" s="1"/>
  <c r="P372" i="1"/>
  <c r="Q372" i="1" s="1"/>
  <c r="BU375" i="1"/>
  <c r="R375" i="1" s="1"/>
  <c r="P375" i="1"/>
  <c r="Q375" i="1" s="1"/>
  <c r="BU377" i="1"/>
  <c r="R377" i="1" s="1"/>
  <c r="T377" i="1" s="1"/>
  <c r="P377" i="1"/>
  <c r="Q377" i="1" s="1"/>
  <c r="BU379" i="1"/>
  <c r="R379" i="1" s="1"/>
  <c r="P379" i="1"/>
  <c r="Q379" i="1" s="1"/>
  <c r="BU382" i="1"/>
  <c r="R382" i="1" s="1"/>
  <c r="P382" i="1"/>
  <c r="Q382" i="1" s="1"/>
  <c r="BU384" i="1"/>
  <c r="R384" i="1" s="1"/>
  <c r="T384" i="1" s="1"/>
  <c r="P384" i="1"/>
  <c r="Q384" i="1" s="1"/>
  <c r="BU386" i="1"/>
  <c r="R386" i="1" s="1"/>
  <c r="P386" i="1"/>
  <c r="Q386" i="1" s="1"/>
  <c r="BU388" i="1"/>
  <c r="R388" i="1" s="1"/>
  <c r="P388" i="1"/>
  <c r="Q388" i="1" s="1"/>
  <c r="BU391" i="1"/>
  <c r="R391" i="1" s="1"/>
  <c r="P391" i="1"/>
  <c r="Q391" i="1" s="1"/>
  <c r="R393" i="1"/>
  <c r="BU395" i="1"/>
  <c r="R395" i="1" s="1"/>
  <c r="T395" i="1" s="1"/>
  <c r="P395" i="1"/>
  <c r="Q395" i="1" s="1"/>
  <c r="BU400" i="1"/>
  <c r="R400" i="1" s="1"/>
  <c r="P400" i="1"/>
  <c r="Q400" i="1" s="1"/>
  <c r="BU403" i="1"/>
  <c r="R403" i="1" s="1"/>
  <c r="P403" i="1"/>
  <c r="Q403" i="1" s="1"/>
  <c r="BU407" i="1"/>
  <c r="R407" i="1" s="1"/>
  <c r="P407" i="1"/>
  <c r="Q407" i="1" s="1"/>
  <c r="BU410" i="1"/>
  <c r="R410" i="1" s="1"/>
  <c r="P410" i="1"/>
  <c r="Q410" i="1" s="1"/>
  <c r="BU415" i="1"/>
  <c r="R415" i="1" s="1"/>
  <c r="P415" i="1"/>
  <c r="Q415" i="1" s="1"/>
  <c r="P249" i="1"/>
  <c r="Q249" i="1" s="1"/>
  <c r="P299" i="1"/>
  <c r="Q299" i="1" s="1"/>
  <c r="P380" i="1"/>
  <c r="Q380" i="1" s="1"/>
  <c r="P409" i="1"/>
  <c r="Q409" i="1" s="1"/>
  <c r="P12" i="1"/>
  <c r="Q12" i="1" s="1"/>
  <c r="B415" i="1"/>
  <c r="A415" i="1"/>
  <c r="B414" i="1"/>
  <c r="B413" i="1" s="1"/>
  <c r="A414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B405" i="1" s="1"/>
  <c r="A406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B368" i="1" s="1"/>
  <c r="A369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B186" i="1" s="1"/>
  <c r="A187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B152" i="1" s="1"/>
  <c r="A153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B33" i="1" s="1"/>
  <c r="A34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B21" i="1" s="1"/>
  <c r="A22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B10" i="1" s="1"/>
  <c r="A11" i="1"/>
  <c r="A10" i="1"/>
  <c r="R16" i="1" l="1"/>
  <c r="T16" i="1" s="1"/>
  <c r="S30" i="1"/>
  <c r="S268" i="1"/>
  <c r="R321" i="1"/>
  <c r="T321" i="1" s="1"/>
  <c r="S364" i="1"/>
  <c r="S28" i="1"/>
  <c r="T12" i="1"/>
  <c r="S149" i="1"/>
  <c r="R402" i="1"/>
  <c r="T402" i="1" s="1"/>
  <c r="R162" i="1"/>
  <c r="T162" i="1" s="1"/>
  <c r="S205" i="1"/>
  <c r="S89" i="1"/>
  <c r="T398" i="1"/>
  <c r="S397" i="1"/>
  <c r="S139" i="1"/>
  <c r="S191" i="1"/>
  <c r="S48" i="1"/>
  <c r="S316" i="1"/>
  <c r="S259" i="1"/>
  <c r="T92" i="1"/>
  <c r="T126" i="1"/>
  <c r="S18" i="1"/>
  <c r="S335" i="1"/>
  <c r="T282" i="1"/>
  <c r="R399" i="1"/>
  <c r="T399" i="1" s="1"/>
  <c r="S71" i="1"/>
  <c r="T134" i="1"/>
  <c r="S238" i="1"/>
  <c r="S201" i="1"/>
  <c r="S307" i="1"/>
  <c r="S114" i="1"/>
  <c r="S100" i="1"/>
  <c r="S349" i="1"/>
  <c r="S23" i="1"/>
  <c r="S277" i="1"/>
  <c r="S233" i="1"/>
  <c r="S36" i="1"/>
  <c r="S67" i="1"/>
  <c r="S118" i="1"/>
  <c r="BU416" i="1"/>
  <c r="R333" i="1"/>
  <c r="T333" i="1" s="1"/>
  <c r="R266" i="1"/>
  <c r="T266" i="1" s="1"/>
  <c r="R203" i="1"/>
  <c r="T203" i="1" s="1"/>
  <c r="R180" i="1"/>
  <c r="T180" i="1" s="1"/>
  <c r="S54" i="1"/>
  <c r="S79" i="1"/>
  <c r="S242" i="1"/>
  <c r="S58" i="1"/>
  <c r="T106" i="1"/>
  <c r="R153" i="1"/>
  <c r="R338" i="1"/>
  <c r="T338" i="1" s="1"/>
  <c r="R171" i="1"/>
  <c r="T171" i="1" s="1"/>
  <c r="S230" i="1"/>
  <c r="T184" i="1"/>
  <c r="R183" i="1"/>
  <c r="T183" i="1" s="1"/>
  <c r="T166" i="1"/>
  <c r="R165" i="1"/>
  <c r="T165" i="1" s="1"/>
  <c r="T382" i="1"/>
  <c r="R381" i="1"/>
  <c r="T381" i="1" s="1"/>
  <c r="T366" i="1"/>
  <c r="R365" i="1"/>
  <c r="T365" i="1" s="1"/>
  <c r="R56" i="1"/>
  <c r="T56" i="1" s="1"/>
  <c r="R357" i="1"/>
  <c r="T357" i="1" s="1"/>
  <c r="S325" i="1"/>
  <c r="R324" i="1"/>
  <c r="T324" i="1" s="1"/>
  <c r="R245" i="1"/>
  <c r="T245" i="1" s="1"/>
  <c r="R195" i="1"/>
  <c r="T195" i="1" s="1"/>
  <c r="R74" i="1"/>
  <c r="T74" i="1" s="1"/>
  <c r="R62" i="1"/>
  <c r="T62" i="1" s="1"/>
  <c r="R90" i="1"/>
  <c r="T90" i="1" s="1"/>
  <c r="T41" i="1"/>
  <c r="R40" i="1"/>
  <c r="T40" i="1" s="1"/>
  <c r="T415" i="1"/>
  <c r="R414" i="1"/>
  <c r="T414" i="1" s="1"/>
  <c r="T346" i="1"/>
  <c r="R345" i="1"/>
  <c r="T345" i="1" s="1"/>
  <c r="R261" i="1"/>
  <c r="T261" i="1" s="1"/>
  <c r="R159" i="1"/>
  <c r="T159" i="1" s="1"/>
  <c r="R141" i="1"/>
  <c r="T141" i="1" s="1"/>
  <c r="R108" i="1"/>
  <c r="T108" i="1" s="1"/>
  <c r="T409" i="1"/>
  <c r="R408" i="1"/>
  <c r="T408" i="1" s="1"/>
  <c r="S354" i="1"/>
  <c r="S353" i="1" s="1"/>
  <c r="R353" i="1"/>
  <c r="T353" i="1" s="1"/>
  <c r="R34" i="1"/>
  <c r="T20" i="1"/>
  <c r="R19" i="1"/>
  <c r="T19" i="1" s="1"/>
  <c r="T188" i="1"/>
  <c r="R187" i="1"/>
  <c r="T391" i="1"/>
  <c r="R390" i="1"/>
  <c r="T390" i="1" s="1"/>
  <c r="R309" i="1"/>
  <c r="T309" i="1" s="1"/>
  <c r="T228" i="1"/>
  <c r="R227" i="1"/>
  <c r="T227" i="1" s="1"/>
  <c r="R177" i="1"/>
  <c r="T177" i="1" s="1"/>
  <c r="T306" i="1"/>
  <c r="R305" i="1"/>
  <c r="T305" i="1" s="1"/>
  <c r="T151" i="1"/>
  <c r="R150" i="1"/>
  <c r="T150" i="1" s="1"/>
  <c r="T136" i="1"/>
  <c r="R135" i="1"/>
  <c r="T135" i="1" s="1"/>
  <c r="T157" i="1"/>
  <c r="R156" i="1"/>
  <c r="T156" i="1" s="1"/>
  <c r="R102" i="1"/>
  <c r="T102" i="1" s="1"/>
  <c r="R27" i="1"/>
  <c r="T27" i="1" s="1"/>
  <c r="T235" i="1"/>
  <c r="R234" i="1"/>
  <c r="T234" i="1" s="1"/>
  <c r="T412" i="1"/>
  <c r="R411" i="1"/>
  <c r="T411" i="1" s="1"/>
  <c r="S235" i="1"/>
  <c r="R290" i="1"/>
  <c r="T290" i="1" s="1"/>
  <c r="T274" i="1"/>
  <c r="R273" i="1"/>
  <c r="T273" i="1" s="1"/>
  <c r="T175" i="1"/>
  <c r="R174" i="1"/>
  <c r="T174" i="1" s="1"/>
  <c r="R255" i="1"/>
  <c r="T255" i="1" s="1"/>
  <c r="T220" i="1"/>
  <c r="R219" i="1"/>
  <c r="T219" i="1" s="1"/>
  <c r="R147" i="1"/>
  <c r="T147" i="1" s="1"/>
  <c r="R132" i="1"/>
  <c r="T132" i="1" s="1"/>
  <c r="T279" i="1"/>
  <c r="R278" i="1"/>
  <c r="T278" i="1" s="1"/>
  <c r="T216" i="1"/>
  <c r="R215" i="1"/>
  <c r="T215" i="1" s="1"/>
  <c r="R373" i="1"/>
  <c r="T373" i="1" s="1"/>
  <c r="S288" i="1"/>
  <c r="T407" i="1"/>
  <c r="R406" i="1"/>
  <c r="R239" i="1"/>
  <c r="T239" i="1" s="1"/>
  <c r="T69" i="1"/>
  <c r="R68" i="1"/>
  <c r="T68" i="1" s="1"/>
  <c r="R300" i="1"/>
  <c r="T300" i="1" s="1"/>
  <c r="R22" i="1"/>
  <c r="R284" i="1"/>
  <c r="T284" i="1" s="1"/>
  <c r="R129" i="1"/>
  <c r="T129" i="1" s="1"/>
  <c r="R97" i="1"/>
  <c r="T97" i="1" s="1"/>
  <c r="R208" i="1"/>
  <c r="T208" i="1" s="1"/>
  <c r="R115" i="1"/>
  <c r="T115" i="1" s="1"/>
  <c r="R329" i="1"/>
  <c r="T329" i="1" s="1"/>
  <c r="R250" i="1"/>
  <c r="T250" i="1" s="1"/>
  <c r="T82" i="1"/>
  <c r="R81" i="1"/>
  <c r="T81" i="1" s="1"/>
  <c r="R46" i="1"/>
  <c r="T46" i="1" s="1"/>
  <c r="T15" i="1"/>
  <c r="R14" i="1"/>
  <c r="T14" i="1" s="1"/>
  <c r="R369" i="1"/>
  <c r="T169" i="1"/>
  <c r="R168" i="1"/>
  <c r="T168" i="1" s="1"/>
  <c r="S45" i="1"/>
  <c r="S385" i="1"/>
  <c r="S25" i="1"/>
  <c r="S110" i="1"/>
  <c r="R11" i="1"/>
  <c r="T11" i="1" s="1"/>
  <c r="S76" i="1"/>
  <c r="S61" i="1"/>
  <c r="S409" i="1"/>
  <c r="S320" i="1"/>
  <c r="S173" i="1"/>
  <c r="S50" i="1"/>
  <c r="S120" i="1"/>
  <c r="S376" i="1"/>
  <c r="S37" i="1"/>
  <c r="S155" i="1"/>
  <c r="S361" i="1"/>
  <c r="T354" i="1"/>
  <c r="S346" i="1"/>
  <c r="S175" i="1"/>
  <c r="S59" i="1"/>
  <c r="S39" i="1"/>
  <c r="S292" i="1"/>
  <c r="S221" i="1"/>
  <c r="T64" i="1"/>
  <c r="S415" i="1"/>
  <c r="S414" i="1" s="1"/>
  <c r="S413" i="1" s="1"/>
  <c r="S263" i="1"/>
  <c r="S407" i="1"/>
  <c r="S406" i="1" s="1"/>
  <c r="T325" i="1"/>
  <c r="S395" i="1"/>
  <c r="S65" i="1"/>
  <c r="S248" i="1"/>
  <c r="S24" i="1"/>
  <c r="S382" i="1"/>
  <c r="S111" i="1"/>
  <c r="S51" i="1"/>
  <c r="S95" i="1"/>
  <c r="S384" i="1"/>
  <c r="T296" i="1"/>
  <c r="S350" i="1"/>
  <c r="S96" i="1"/>
  <c r="S166" i="1"/>
  <c r="S143" i="1"/>
  <c r="T311" i="1"/>
  <c r="S244" i="1"/>
  <c r="S206" i="1"/>
  <c r="S336" i="1"/>
  <c r="S83" i="1"/>
  <c r="S146" i="1"/>
  <c r="S302" i="1"/>
  <c r="S394" i="1"/>
  <c r="S131" i="1"/>
  <c r="S127" i="1"/>
  <c r="S380" i="1"/>
  <c r="S340" i="1"/>
  <c r="S78" i="1"/>
  <c r="S249" i="1"/>
  <c r="S179" i="1"/>
  <c r="T393" i="1"/>
  <c r="S393" i="1"/>
  <c r="T379" i="1"/>
  <c r="S379" i="1"/>
  <c r="T363" i="1"/>
  <c r="S363" i="1"/>
  <c r="T181" i="1"/>
  <c r="S181" i="1"/>
  <c r="T94" i="1"/>
  <c r="S94" i="1"/>
  <c r="S52" i="1"/>
  <c r="T52" i="1"/>
  <c r="S243" i="1"/>
  <c r="T243" i="1"/>
  <c r="T374" i="1"/>
  <c r="S374" i="1"/>
  <c r="S322" i="1"/>
  <c r="T322" i="1"/>
  <c r="S308" i="1"/>
  <c r="T308" i="1"/>
  <c r="T260" i="1"/>
  <c r="S260" i="1"/>
  <c r="T91" i="1"/>
  <c r="S91" i="1"/>
  <c r="T72" i="1"/>
  <c r="S72" i="1"/>
  <c r="S13" i="1"/>
  <c r="S11" i="1" s="1"/>
  <c r="T13" i="1"/>
  <c r="T44" i="1"/>
  <c r="S44" i="1"/>
  <c r="S366" i="1"/>
  <c r="S192" i="1"/>
  <c r="S412" i="1"/>
  <c r="S411" i="1" s="1"/>
  <c r="S53" i="1"/>
  <c r="S104" i="1"/>
  <c r="S312" i="1"/>
  <c r="T312" i="1"/>
  <c r="S295" i="1"/>
  <c r="T295" i="1"/>
  <c r="T262" i="1"/>
  <c r="S262" i="1"/>
  <c r="S160" i="1"/>
  <c r="T160" i="1"/>
  <c r="S142" i="1"/>
  <c r="T142" i="1"/>
  <c r="S109" i="1"/>
  <c r="T109" i="1"/>
  <c r="T392" i="1"/>
  <c r="S392" i="1"/>
  <c r="S337" i="1"/>
  <c r="T337" i="1"/>
  <c r="T275" i="1"/>
  <c r="S275" i="1"/>
  <c r="S241" i="1"/>
  <c r="T241" i="1"/>
  <c r="T224" i="1"/>
  <c r="S224" i="1"/>
  <c r="T193" i="1"/>
  <c r="S193" i="1"/>
  <c r="T105" i="1"/>
  <c r="S105" i="1"/>
  <c r="S88" i="1"/>
  <c r="T88" i="1"/>
  <c r="T49" i="1"/>
  <c r="S49" i="1"/>
  <c r="T63" i="1"/>
  <c r="S63" i="1"/>
  <c r="S371" i="1"/>
  <c r="S216" i="1"/>
  <c r="T410" i="1"/>
  <c r="S410" i="1"/>
  <c r="T343" i="1"/>
  <c r="S343" i="1"/>
  <c r="S194" i="1"/>
  <c r="T194" i="1"/>
  <c r="T73" i="1"/>
  <c r="S73" i="1"/>
  <c r="T404" i="1"/>
  <c r="S404" i="1"/>
  <c r="T389" i="1"/>
  <c r="S389" i="1"/>
  <c r="S351" i="1"/>
  <c r="T351" i="1"/>
  <c r="T303" i="1"/>
  <c r="S303" i="1"/>
  <c r="T289" i="1"/>
  <c r="S289" i="1"/>
  <c r="T272" i="1"/>
  <c r="S272" i="1"/>
  <c r="T222" i="1"/>
  <c r="S222" i="1"/>
  <c r="T170" i="1"/>
  <c r="S170" i="1"/>
  <c r="S168" i="1" s="1"/>
  <c r="T119" i="1"/>
  <c r="S119" i="1"/>
  <c r="S103" i="1"/>
  <c r="T103" i="1"/>
  <c r="T86" i="1"/>
  <c r="S86" i="1"/>
  <c r="S31" i="1"/>
  <c r="T31" i="1"/>
  <c r="T42" i="1"/>
  <c r="S42" i="1"/>
  <c r="S151" i="1"/>
  <c r="S150" i="1" s="1"/>
  <c r="T388" i="1"/>
  <c r="S388" i="1"/>
  <c r="T375" i="1"/>
  <c r="S375" i="1"/>
  <c r="T359" i="1"/>
  <c r="S359" i="1"/>
  <c r="T341" i="1"/>
  <c r="S341" i="1"/>
  <c r="T326" i="1"/>
  <c r="S326" i="1"/>
  <c r="T291" i="1"/>
  <c r="S291" i="1"/>
  <c r="T257" i="1"/>
  <c r="S257" i="1"/>
  <c r="T225" i="1"/>
  <c r="S225" i="1"/>
  <c r="T211" i="1"/>
  <c r="S211" i="1"/>
  <c r="T87" i="1"/>
  <c r="S87" i="1"/>
  <c r="S367" i="1"/>
  <c r="T367" i="1"/>
  <c r="T317" i="1"/>
  <c r="S317" i="1"/>
  <c r="T287" i="1"/>
  <c r="S287" i="1"/>
  <c r="S270" i="1"/>
  <c r="T270" i="1"/>
  <c r="S256" i="1"/>
  <c r="T256" i="1"/>
  <c r="T236" i="1"/>
  <c r="S236" i="1"/>
  <c r="T148" i="1"/>
  <c r="S148" i="1"/>
  <c r="T133" i="1"/>
  <c r="S133" i="1"/>
  <c r="S132" i="1" s="1"/>
  <c r="S35" i="1"/>
  <c r="T35" i="1"/>
  <c r="S124" i="1"/>
  <c r="S136" i="1"/>
  <c r="S228" i="1"/>
  <c r="T240" i="1"/>
  <c r="S240" i="1"/>
  <c r="T154" i="1"/>
  <c r="S154" i="1"/>
  <c r="T137" i="1"/>
  <c r="S137" i="1"/>
  <c r="S43" i="1"/>
  <c r="T43" i="1"/>
  <c r="T401" i="1"/>
  <c r="S401" i="1"/>
  <c r="S387" i="1"/>
  <c r="T387" i="1"/>
  <c r="T332" i="1"/>
  <c r="S332" i="1"/>
  <c r="T301" i="1"/>
  <c r="S301" i="1"/>
  <c r="T253" i="1"/>
  <c r="S253" i="1"/>
  <c r="T202" i="1"/>
  <c r="S202" i="1"/>
  <c r="T189" i="1"/>
  <c r="S189" i="1"/>
  <c r="S167" i="1"/>
  <c r="T167" i="1"/>
  <c r="S117" i="1"/>
  <c r="T117" i="1"/>
  <c r="T84" i="1"/>
  <c r="S84" i="1"/>
  <c r="T17" i="1"/>
  <c r="S17" i="1"/>
  <c r="S197" i="1"/>
  <c r="T197" i="1"/>
  <c r="S122" i="1"/>
  <c r="T122" i="1"/>
  <c r="T258" i="1"/>
  <c r="S258" i="1"/>
  <c r="T70" i="1"/>
  <c r="S70" i="1"/>
  <c r="S293" i="1"/>
  <c r="S121" i="1"/>
  <c r="S213" i="1"/>
  <c r="S32" i="1"/>
  <c r="S274" i="1"/>
  <c r="T386" i="1"/>
  <c r="S386" i="1"/>
  <c r="T372" i="1"/>
  <c r="S372" i="1"/>
  <c r="T356" i="1"/>
  <c r="S356" i="1"/>
  <c r="S355" i="1" s="1"/>
  <c r="S339" i="1"/>
  <c r="T339" i="1"/>
  <c r="S323" i="1"/>
  <c r="T323" i="1"/>
  <c r="T304" i="1"/>
  <c r="S304" i="1"/>
  <c r="T271" i="1"/>
  <c r="S271" i="1"/>
  <c r="T254" i="1"/>
  <c r="S254" i="1"/>
  <c r="S223" i="1"/>
  <c r="T223" i="1"/>
  <c r="S209" i="1"/>
  <c r="T209" i="1"/>
  <c r="S172" i="1"/>
  <c r="T172" i="1"/>
  <c r="T101" i="1"/>
  <c r="S101" i="1"/>
  <c r="S85" i="1"/>
  <c r="T85" i="1"/>
  <c r="T315" i="1"/>
  <c r="S315" i="1"/>
  <c r="S285" i="1"/>
  <c r="T285" i="1"/>
  <c r="T217" i="1"/>
  <c r="S217" i="1"/>
  <c r="T185" i="1"/>
  <c r="S185" i="1"/>
  <c r="S145" i="1"/>
  <c r="T145" i="1"/>
  <c r="S130" i="1"/>
  <c r="T130" i="1"/>
  <c r="T98" i="1"/>
  <c r="S98" i="1"/>
  <c r="T29" i="1"/>
  <c r="S29" i="1"/>
  <c r="S55" i="1"/>
  <c r="T55" i="1"/>
  <c r="S279" i="1"/>
  <c r="S107" i="1"/>
  <c r="S319" i="1"/>
  <c r="S138" i="1"/>
  <c r="S199" i="1"/>
  <c r="T403" i="1"/>
  <c r="S403" i="1"/>
  <c r="S237" i="1"/>
  <c r="T237" i="1"/>
  <c r="T190" i="1"/>
  <c r="S190" i="1"/>
  <c r="T116" i="1"/>
  <c r="S116" i="1"/>
  <c r="T66" i="1"/>
  <c r="S66" i="1"/>
  <c r="S38" i="1"/>
  <c r="T38" i="1"/>
  <c r="S383" i="1"/>
  <c r="T383" i="1"/>
  <c r="T362" i="1"/>
  <c r="S362" i="1"/>
  <c r="T347" i="1"/>
  <c r="S347" i="1"/>
  <c r="T330" i="1"/>
  <c r="S330" i="1"/>
  <c r="S298" i="1"/>
  <c r="T298" i="1"/>
  <c r="T251" i="1"/>
  <c r="S251" i="1"/>
  <c r="T231" i="1"/>
  <c r="S231" i="1"/>
  <c r="T200" i="1"/>
  <c r="S200" i="1"/>
  <c r="S164" i="1"/>
  <c r="T164" i="1"/>
  <c r="S331" i="1"/>
  <c r="T276" i="1"/>
  <c r="S276" i="1"/>
  <c r="S178" i="1"/>
  <c r="T178" i="1"/>
  <c r="S264" i="1"/>
  <c r="S306" i="1"/>
  <c r="S123" i="1"/>
  <c r="S184" i="1"/>
  <c r="S396" i="1"/>
  <c r="S370" i="1"/>
  <c r="T370" i="1"/>
  <c r="S352" i="1"/>
  <c r="T352" i="1"/>
  <c r="T286" i="1"/>
  <c r="S286" i="1"/>
  <c r="T269" i="1"/>
  <c r="S269" i="1"/>
  <c r="S252" i="1"/>
  <c r="T252" i="1"/>
  <c r="S99" i="1"/>
  <c r="T99" i="1"/>
  <c r="T344" i="1"/>
  <c r="S344" i="1"/>
  <c r="S313" i="1"/>
  <c r="T313" i="1"/>
  <c r="S265" i="1"/>
  <c r="T265" i="1"/>
  <c r="T214" i="1"/>
  <c r="S214" i="1"/>
  <c r="S182" i="1"/>
  <c r="T182" i="1"/>
  <c r="T112" i="1"/>
  <c r="S112" i="1"/>
  <c r="S26" i="1"/>
  <c r="T26" i="1"/>
  <c r="T400" i="1"/>
  <c r="S400" i="1"/>
  <c r="T318" i="1"/>
  <c r="S318" i="1"/>
  <c r="T299" i="1"/>
  <c r="S299" i="1"/>
  <c r="T283" i="1"/>
  <c r="S283" i="1"/>
  <c r="S113" i="1"/>
  <c r="T113" i="1"/>
  <c r="T80" i="1"/>
  <c r="S80" i="1"/>
  <c r="T360" i="1"/>
  <c r="S360" i="1"/>
  <c r="S327" i="1"/>
  <c r="T327" i="1"/>
  <c r="T280" i="1"/>
  <c r="S280" i="1"/>
  <c r="T229" i="1"/>
  <c r="S229" i="1"/>
  <c r="S198" i="1"/>
  <c r="T198" i="1"/>
  <c r="T161" i="1"/>
  <c r="S161" i="1"/>
  <c r="T77" i="1"/>
  <c r="S77" i="1"/>
  <c r="S310" i="1"/>
  <c r="T310" i="1"/>
  <c r="S391" i="1"/>
  <c r="S334" i="1"/>
  <c r="T334" i="1"/>
  <c r="S267" i="1"/>
  <c r="T267" i="1"/>
  <c r="T218" i="1"/>
  <c r="S218" i="1"/>
  <c r="T204" i="1"/>
  <c r="S204" i="1"/>
  <c r="T128" i="1"/>
  <c r="S128" i="1"/>
  <c r="T207" i="1"/>
  <c r="S207" i="1"/>
  <c r="T378" i="1"/>
  <c r="S378" i="1"/>
  <c r="S342" i="1"/>
  <c r="T342" i="1"/>
  <c r="S212" i="1"/>
  <c r="T212" i="1"/>
  <c r="S140" i="1"/>
  <c r="T140" i="1"/>
  <c r="T125" i="1"/>
  <c r="S125" i="1"/>
  <c r="T93" i="1"/>
  <c r="S93" i="1"/>
  <c r="S47" i="1"/>
  <c r="T47" i="1"/>
  <c r="T328" i="1"/>
  <c r="S328" i="1"/>
  <c r="S377" i="1"/>
  <c r="S210" i="1"/>
  <c r="T348" i="1"/>
  <c r="S348" i="1"/>
  <c r="T314" i="1"/>
  <c r="S314" i="1"/>
  <c r="T297" i="1"/>
  <c r="S297" i="1"/>
  <c r="S281" i="1"/>
  <c r="T281" i="1"/>
  <c r="T247" i="1"/>
  <c r="S247" i="1"/>
  <c r="T232" i="1"/>
  <c r="S232" i="1"/>
  <c r="T163" i="1"/>
  <c r="S163" i="1"/>
  <c r="S144" i="1"/>
  <c r="T144" i="1"/>
  <c r="S57" i="1"/>
  <c r="T57" i="1"/>
  <c r="T358" i="1"/>
  <c r="S358" i="1"/>
  <c r="S294" i="1"/>
  <c r="T294" i="1"/>
  <c r="T246" i="1"/>
  <c r="S246" i="1"/>
  <c r="S226" i="1"/>
  <c r="T226" i="1"/>
  <c r="T196" i="1"/>
  <c r="S196" i="1"/>
  <c r="T176" i="1"/>
  <c r="S176" i="1"/>
  <c r="T158" i="1"/>
  <c r="S158" i="1"/>
  <c r="S156" i="1" s="1"/>
  <c r="S75" i="1"/>
  <c r="T75" i="1"/>
  <c r="S60" i="1"/>
  <c r="T60" i="1"/>
  <c r="S147" i="1" l="1"/>
  <c r="S16" i="1"/>
  <c r="S10" i="1" s="1"/>
  <c r="S177" i="1"/>
  <c r="S165" i="1"/>
  <c r="S305" i="1"/>
  <c r="S357" i="1"/>
  <c r="S390" i="1"/>
  <c r="S273" i="1"/>
  <c r="R413" i="1"/>
  <c r="T413" i="1" s="1"/>
  <c r="S56" i="1"/>
  <c r="S399" i="1"/>
  <c r="T406" i="1"/>
  <c r="R405" i="1"/>
  <c r="T405" i="1" s="1"/>
  <c r="T369" i="1"/>
  <c r="R368" i="1"/>
  <c r="T368" i="1" s="1"/>
  <c r="T187" i="1"/>
  <c r="R186" i="1"/>
  <c r="T186" i="1" s="1"/>
  <c r="T153" i="1"/>
  <c r="R152" i="1"/>
  <c r="T152" i="1" s="1"/>
  <c r="T34" i="1"/>
  <c r="R33" i="1"/>
  <c r="T33" i="1" s="1"/>
  <c r="T22" i="1"/>
  <c r="R21" i="1"/>
  <c r="T21" i="1" s="1"/>
  <c r="S162" i="1"/>
  <c r="S68" i="1"/>
  <c r="S27" i="1"/>
  <c r="S81" i="1"/>
  <c r="S227" i="1"/>
  <c r="S187" i="1"/>
  <c r="S22" i="1"/>
  <c r="S40" i="1"/>
  <c r="S219" i="1"/>
  <c r="S365" i="1"/>
  <c r="S159" i="1"/>
  <c r="S329" i="1"/>
  <c r="S115" i="1"/>
  <c r="S278" i="1"/>
  <c r="S171" i="1"/>
  <c r="S300" i="1"/>
  <c r="S153" i="1"/>
  <c r="S261" i="1"/>
  <c r="S321" i="1"/>
  <c r="S203" i="1"/>
  <c r="S373" i="1"/>
  <c r="S208" i="1"/>
  <c r="S338" i="1"/>
  <c r="S239" i="1"/>
  <c r="S195" i="1"/>
  <c r="S245" i="1"/>
  <c r="S369" i="1"/>
  <c r="S284" i="1"/>
  <c r="S255" i="1"/>
  <c r="S183" i="1"/>
  <c r="S97" i="1"/>
  <c r="S135" i="1"/>
  <c r="S102" i="1"/>
  <c r="S90" i="1"/>
  <c r="S381" i="1"/>
  <c r="S309" i="1"/>
  <c r="S74" i="1"/>
  <c r="S266" i="1"/>
  <c r="S402" i="1"/>
  <c r="S408" i="1"/>
  <c r="S405" i="1" s="1"/>
  <c r="S108" i="1"/>
  <c r="S174" i="1"/>
  <c r="S46" i="1"/>
  <c r="S333" i="1"/>
  <c r="S250" i="1"/>
  <c r="S129" i="1"/>
  <c r="S34" i="1"/>
  <c r="S215" i="1"/>
  <c r="S345" i="1"/>
  <c r="S290" i="1"/>
  <c r="S141" i="1"/>
  <c r="S180" i="1"/>
  <c r="S324" i="1"/>
  <c r="S62" i="1"/>
  <c r="S234" i="1"/>
  <c r="R10" i="1"/>
  <c r="S368" i="1" l="1"/>
  <c r="S186" i="1"/>
  <c r="S152" i="1"/>
  <c r="S33" i="1"/>
  <c r="S21" i="1"/>
  <c r="T10" i="1"/>
  <c r="R416" i="1"/>
  <c r="T416" i="1" s="1"/>
  <c r="S416" i="1" l="1"/>
</calcChain>
</file>

<file path=xl/sharedStrings.xml><?xml version="1.0" encoding="utf-8"?>
<sst xmlns="http://schemas.openxmlformats.org/spreadsheetml/2006/main" count="4207" uniqueCount="358">
  <si>
    <t/>
  </si>
  <si>
    <t>Proposal #:</t>
  </si>
  <si>
    <t>1945.02</t>
  </si>
  <si>
    <t>Job #:</t>
  </si>
  <si>
    <t>Nitron 2500T</t>
  </si>
  <si>
    <t>Change #:</t>
  </si>
  <si>
    <t>Description:</t>
  </si>
  <si>
    <t>Nitron 2500T (Rev #2)</t>
  </si>
  <si>
    <t>Owner:</t>
  </si>
  <si>
    <t>Linde</t>
  </si>
  <si>
    <t>Location:</t>
  </si>
  <si>
    <t>Sherman, Texas</t>
  </si>
  <si>
    <t>Date:</t>
  </si>
  <si>
    <t>June 23, 2025</t>
  </si>
  <si>
    <t>WBS</t>
  </si>
  <si>
    <t>PHASE</t>
  </si>
  <si>
    <t>SIZE</t>
  </si>
  <si>
    <t>FLC</t>
  </si>
  <si>
    <t>LINE / DESCRIP</t>
  </si>
  <si>
    <t>SPEC</t>
  </si>
  <si>
    <t>INSUL</t>
  </si>
  <si>
    <t>INSL. SIZE</t>
  </si>
  <si>
    <t>SHT</t>
  </si>
  <si>
    <t>QTY</t>
  </si>
  <si>
    <t>UNIT</t>
  </si>
  <si>
    <t>CRAFT</t>
  </si>
  <si>
    <t>WELD</t>
  </si>
  <si>
    <t>TOTAL</t>
  </si>
  <si>
    <t>MOBILIZE</t>
  </si>
  <si>
    <t>10001</t>
  </si>
  <si>
    <t>EQUIPMENT SETUP</t>
  </si>
  <si>
    <t>TOOLS</t>
  </si>
  <si>
    <t>EA</t>
  </si>
  <si>
    <t>EQUIPMENT</t>
  </si>
  <si>
    <t>10002</t>
  </si>
  <si>
    <t>TRAILER SETUP</t>
  </si>
  <si>
    <t>TOOL TRAILER</t>
  </si>
  <si>
    <t>10004</t>
  </si>
  <si>
    <t>SAFETY ORIENTATION</t>
  </si>
  <si>
    <t>CUSTOMER SAFETY ORIENTATION</t>
  </si>
  <si>
    <t>INDEMAND SAFETY ORIENTATION</t>
  </si>
  <si>
    <t>10005</t>
  </si>
  <si>
    <t>WELDER TEST / QUALIFICATION</t>
  </si>
  <si>
    <t>TEST</t>
  </si>
  <si>
    <t>CONCRETE</t>
  </si>
  <si>
    <t>30001</t>
  </si>
  <si>
    <t>CEMENTITIOUS GROUT</t>
  </si>
  <si>
    <t>BUSH HAMMER</t>
  </si>
  <si>
    <t>SF</t>
  </si>
  <si>
    <t>PREPURIFIER VESSEL A</t>
  </si>
  <si>
    <t>PREPURIFIER VESSEL B</t>
  </si>
  <si>
    <t>GLYCOL EXPANSION TANK</t>
  </si>
  <si>
    <t>30002</t>
  </si>
  <si>
    <t>EPOXY GROUT</t>
  </si>
  <si>
    <t>(REV #1)</t>
  </si>
  <si>
    <t>GROUT FORMING</t>
  </si>
  <si>
    <t>LF</t>
  </si>
  <si>
    <t>MAC AND BNC</t>
  </si>
  <si>
    <t>CY</t>
  </si>
  <si>
    <t>COLD BOX</t>
  </si>
  <si>
    <t>TURBINE BOX</t>
  </si>
  <si>
    <t>LOT</t>
  </si>
  <si>
    <t>DAY</t>
  </si>
  <si>
    <t>TOWERS/VESSELS/EQUIPMENT</t>
  </si>
  <si>
    <t>40001</t>
  </si>
  <si>
    <t>RC-0500/RC-0700</t>
  </si>
  <si>
    <t>MAC &amp; BNC</t>
  </si>
  <si>
    <t>TON</t>
  </si>
  <si>
    <t>LAYOUT / VERIFY</t>
  </si>
  <si>
    <t>INSTALL ANCHOR BOLTS</t>
  </si>
  <si>
    <t>SHIM</t>
  </si>
  <si>
    <t>SECURE</t>
  </si>
  <si>
    <t>CLEAN UP</t>
  </si>
  <si>
    <t>40002</t>
  </si>
  <si>
    <t>SK-0550</t>
  </si>
  <si>
    <t>PREPURIFIER SKID</t>
  </si>
  <si>
    <t>40003</t>
  </si>
  <si>
    <t>CB-0100</t>
  </si>
  <si>
    <t>REMOVE SHIPPING SUPPORTS</t>
  </si>
  <si>
    <t>SD-08 SILENCER</t>
  </si>
  <si>
    <t>INSTALL ANCHOR CHAIR SPACER</t>
  </si>
  <si>
    <t xml:space="preserve">INSTALL POLY FILM </t>
  </si>
  <si>
    <t>INSTALL ACTUATORS</t>
  </si>
  <si>
    <t>40004</t>
  </si>
  <si>
    <t>HV-0360</t>
  </si>
  <si>
    <t>DRAIN VAPROIZER</t>
  </si>
  <si>
    <t>40005</t>
  </si>
  <si>
    <t>AV-0550</t>
  </si>
  <si>
    <t>PREPURIFIER VESSEL</t>
  </si>
  <si>
    <t>40006</t>
  </si>
  <si>
    <t>AV-0560</t>
  </si>
  <si>
    <t>40007</t>
  </si>
  <si>
    <t>AS-0560</t>
  </si>
  <si>
    <t>BLOWDOWN SILENCER</t>
  </si>
  <si>
    <t>INSTALL HANGERS, STRUCTURAL STEEL</t>
  </si>
  <si>
    <t>INSTALL DRAIN MUFFLER ASSEMBLY</t>
  </si>
  <si>
    <t>40008</t>
  </si>
  <si>
    <t>RP-0830</t>
  </si>
  <si>
    <t>GLYCOL PUMP SKID</t>
  </si>
  <si>
    <t>PRECISION ALIGNMENT</t>
  </si>
  <si>
    <t>LUBRICATION</t>
  </si>
  <si>
    <t>WEEKLY ROTATION</t>
  </si>
  <si>
    <t>40009</t>
  </si>
  <si>
    <t>AF-0500</t>
  </si>
  <si>
    <t>AIR SUCTION FILTER HOUSE</t>
  </si>
  <si>
    <t>ASSEMBLE COMPONENTS</t>
  </si>
  <si>
    <t>40010</t>
  </si>
  <si>
    <t>AS-0500</t>
  </si>
  <si>
    <t>MAC VENT SILENCER</t>
  </si>
  <si>
    <t>40011</t>
  </si>
  <si>
    <t>TO-0803</t>
  </si>
  <si>
    <t>40012</t>
  </si>
  <si>
    <t>HO-0801</t>
  </si>
  <si>
    <t>FIN FAN COOLER (MAC/BNC)</t>
  </si>
  <si>
    <t>40013</t>
  </si>
  <si>
    <t>RC-0205</t>
  </si>
  <si>
    <t>TURBINE DUCT</t>
  </si>
  <si>
    <t>REMOVE SHIPPING SECURING DEVICE FROM MANWAY</t>
  </si>
  <si>
    <t>SHIP LOOSE TURBINE INSTALL</t>
  </si>
  <si>
    <t>INSTALL AF-200 AIR FILTER</t>
  </si>
  <si>
    <t>REMOVE SHIPPING WEDGES</t>
  </si>
  <si>
    <t>6 - INSTALL EXPANSION JOINT</t>
  </si>
  <si>
    <t>4 - INSTALL EXPANSION JOINT</t>
  </si>
  <si>
    <t>INSTALL ANCHOR CHAIR SPACERS</t>
  </si>
  <si>
    <t>40014</t>
  </si>
  <si>
    <t>STORAGE UNIT</t>
  </si>
  <si>
    <t>40015</t>
  </si>
  <si>
    <t>CONTROL ROOM</t>
  </si>
  <si>
    <t>40016</t>
  </si>
  <si>
    <t>TRANSFORMER</t>
  </si>
  <si>
    <t>40017</t>
  </si>
  <si>
    <t>SWITCHGEAR</t>
  </si>
  <si>
    <t>40018</t>
  </si>
  <si>
    <t>MCC ROOM</t>
  </si>
  <si>
    <t>40019</t>
  </si>
  <si>
    <t>Uncrate Offload Receive</t>
  </si>
  <si>
    <t>Uncrate Offload Receive - 2 days</t>
  </si>
  <si>
    <t>STRUCTURAL</t>
  </si>
  <si>
    <t>60001</t>
  </si>
  <si>
    <t>FPS-01A</t>
  </si>
  <si>
    <t>FIELD SUPPORT - POST (≤10)</t>
  </si>
  <si>
    <t>INSTALL ANCHORS</t>
  </si>
  <si>
    <t>60002</t>
  </si>
  <si>
    <t>FPS-01B</t>
  </si>
  <si>
    <t>60003</t>
  </si>
  <si>
    <t>FPS-02</t>
  </si>
  <si>
    <t>60004</t>
  </si>
  <si>
    <t>FPS-03</t>
  </si>
  <si>
    <t>60005</t>
  </si>
  <si>
    <t>FPS-04</t>
  </si>
  <si>
    <t>60006</t>
  </si>
  <si>
    <t>FPS-05</t>
  </si>
  <si>
    <t>60007</t>
  </si>
  <si>
    <t>FPS-06</t>
  </si>
  <si>
    <t>60008</t>
  </si>
  <si>
    <t>FPS-07</t>
  </si>
  <si>
    <t>60009</t>
  </si>
  <si>
    <t>FPS-08</t>
  </si>
  <si>
    <t>60010</t>
  </si>
  <si>
    <t>FPS-09</t>
  </si>
  <si>
    <t>60011</t>
  </si>
  <si>
    <t>FPS-10</t>
  </si>
  <si>
    <t>AG PIPING</t>
  </si>
  <si>
    <t>70001</t>
  </si>
  <si>
    <t xml:space="preserve">AGL0500A </t>
  </si>
  <si>
    <t>CS150B</t>
  </si>
  <si>
    <t>HE - 14</t>
  </si>
  <si>
    <t>HE - 12</t>
  </si>
  <si>
    <t>V - 14</t>
  </si>
  <si>
    <t>BU - 14 (REV1)</t>
  </si>
  <si>
    <t>BU - 12</t>
  </si>
  <si>
    <t>THRD  - ≤.75</t>
  </si>
  <si>
    <t>UBOLT - 12-18</t>
  </si>
  <si>
    <t>70002</t>
  </si>
  <si>
    <t>AGM0500A</t>
  </si>
  <si>
    <t>HE - 6</t>
  </si>
  <si>
    <t>HE - 4</t>
  </si>
  <si>
    <t>FW - 4</t>
  </si>
  <si>
    <t>V - 4</t>
  </si>
  <si>
    <t>BU - 6</t>
  </si>
  <si>
    <t>BU - 4</t>
  </si>
  <si>
    <t>UBOLT - ≤4</t>
  </si>
  <si>
    <t>70003</t>
  </si>
  <si>
    <t>AGV0500A</t>
  </si>
  <si>
    <t>HE - 3</t>
  </si>
  <si>
    <t>FW - 6</t>
  </si>
  <si>
    <t>BU - 3</t>
  </si>
  <si>
    <t>70004</t>
  </si>
  <si>
    <t>GWF0830B</t>
  </si>
  <si>
    <t>FW - 3</t>
  </si>
  <si>
    <t>70005</t>
  </si>
  <si>
    <t>GWR0500-001</t>
  </si>
  <si>
    <t>70006</t>
  </si>
  <si>
    <t>GWR0500-002</t>
  </si>
  <si>
    <t>V - ≤2</t>
  </si>
  <si>
    <t>70007</t>
  </si>
  <si>
    <t>GWR0500-003</t>
  </si>
  <si>
    <t>70008</t>
  </si>
  <si>
    <t>GWR0801B</t>
  </si>
  <si>
    <t>70009</t>
  </si>
  <si>
    <t>NGM0101E</t>
  </si>
  <si>
    <t>SS150B</t>
  </si>
  <si>
    <t>70010</t>
  </si>
  <si>
    <t>NGM0700D-001</t>
  </si>
  <si>
    <t>70011</t>
  </si>
  <si>
    <t>NGM0700D-002</t>
  </si>
  <si>
    <t>70012</t>
  </si>
  <si>
    <t>NGM0700E</t>
  </si>
  <si>
    <t>70013</t>
  </si>
  <si>
    <t>NLM1740A-001</t>
  </si>
  <si>
    <t>GS-115</t>
  </si>
  <si>
    <t>8"</t>
  </si>
  <si>
    <t>HE - ≤2 (REV1)</t>
  </si>
  <si>
    <t>FSW - 1</t>
  </si>
  <si>
    <t>V - ≤2 (REV1)</t>
  </si>
  <si>
    <t>BU - ≤2 (REV1)</t>
  </si>
  <si>
    <t>THRD  - ≤.75 (REV1)</t>
  </si>
  <si>
    <t>UBOLT - 6-10 (REV1)</t>
  </si>
  <si>
    <t>70014</t>
  </si>
  <si>
    <t>NLM1740A-002</t>
  </si>
  <si>
    <t>70015</t>
  </si>
  <si>
    <t>NLM1740A-003</t>
  </si>
  <si>
    <t>HE - ≤2</t>
  </si>
  <si>
    <t>BU - ≤2</t>
  </si>
  <si>
    <t>UBOLT - 6-10</t>
  </si>
  <si>
    <t>70016</t>
  </si>
  <si>
    <t>INNER CONNECT - VESSEL 0560</t>
  </si>
  <si>
    <t>HE - 10</t>
  </si>
  <si>
    <t>BU - 10</t>
  </si>
  <si>
    <t>70017</t>
  </si>
  <si>
    <t>INNER CONNECT - VESSEL 0550</t>
  </si>
  <si>
    <t>70018</t>
  </si>
  <si>
    <t>INNER CONNECT - COLD BOX</t>
  </si>
  <si>
    <t>FSW - 2</t>
  </si>
  <si>
    <t>V - 10</t>
  </si>
  <si>
    <t>V - 8</t>
  </si>
  <si>
    <t>V - 6</t>
  </si>
  <si>
    <t>BU - 8</t>
  </si>
  <si>
    <t>70019</t>
  </si>
  <si>
    <t>INNER CONNECT - FILTER HOUSE</t>
  </si>
  <si>
    <t>BU - 14</t>
  </si>
  <si>
    <t>70020</t>
  </si>
  <si>
    <t>INNER CONNECT - AIR FILTER</t>
  </si>
  <si>
    <t>70021</t>
  </si>
  <si>
    <t>INNER CONNECT - TURBINE</t>
  </si>
  <si>
    <t>70022</t>
  </si>
  <si>
    <t>NG0205A</t>
  </si>
  <si>
    <t>70023</t>
  </si>
  <si>
    <t>NGM0700C - PREPURIFIER SKID</t>
  </si>
  <si>
    <t>70024</t>
  </si>
  <si>
    <t>INNER CONNECT - KLL0330B</t>
  </si>
  <si>
    <t>70025</t>
  </si>
  <si>
    <t>MAC DRAIN LINES</t>
  </si>
  <si>
    <t>(REV #2)</t>
  </si>
  <si>
    <t>THRD - ≤.75</t>
  </si>
  <si>
    <t>CUT - ≤2</t>
  </si>
  <si>
    <t>OFF - ≤2</t>
  </si>
  <si>
    <t>70026</t>
  </si>
  <si>
    <t>KGMO33OD</t>
  </si>
  <si>
    <t>THRD  - 1</t>
  </si>
  <si>
    <t>79989</t>
  </si>
  <si>
    <t>OFFLOAD/RECIEVE</t>
  </si>
  <si>
    <t>OFF - 14</t>
  </si>
  <si>
    <t>OFF - 12</t>
  </si>
  <si>
    <t>OFF - 10</t>
  </si>
  <si>
    <t>OFF - 6</t>
  </si>
  <si>
    <t>OFF - 4</t>
  </si>
  <si>
    <t>OFF - 3</t>
  </si>
  <si>
    <t>79995</t>
  </si>
  <si>
    <t>ADDITIONAL HOURS</t>
  </si>
  <si>
    <t>1 WELD - 5 WEEKS</t>
  </si>
  <si>
    <t>79996</t>
  </si>
  <si>
    <t>TORQUE VERIFICATION</t>
  </si>
  <si>
    <t>BOLT UPS</t>
  </si>
  <si>
    <t>79997</t>
  </si>
  <si>
    <t>PNEUMATIC TESTING</t>
  </si>
  <si>
    <t>PNEU - 14</t>
  </si>
  <si>
    <t>PNEU - 12</t>
  </si>
  <si>
    <t>PNEU - 10</t>
  </si>
  <si>
    <t>PNEU - 6</t>
  </si>
  <si>
    <t>PNEU - 4</t>
  </si>
  <si>
    <t>PNEU - 3</t>
  </si>
  <si>
    <t>PNEU - ≤2</t>
  </si>
  <si>
    <t>79998</t>
  </si>
  <si>
    <t>O2 CLEANING</t>
  </si>
  <si>
    <t>WELDS</t>
  </si>
  <si>
    <t>BOLTUPS</t>
  </si>
  <si>
    <t>INSTRUMENTS</t>
  </si>
  <si>
    <t>90001</t>
  </si>
  <si>
    <t>COLD BOX BULKHEAED PLATE TO SKID BULKHEAD PLATE</t>
  </si>
  <si>
    <t>TYPE M / L / K  .028 - .049 WALL - 1/4 (CU)</t>
  </si>
  <si>
    <t>INSTALL CONNECTIONS</t>
  </si>
  <si>
    <t>INSTALL MS-01-109</t>
  </si>
  <si>
    <t>90002</t>
  </si>
  <si>
    <t>G4 TO G INSTRUMENT LINE</t>
  </si>
  <si>
    <t>TORQUE BOLT UPS</t>
  </si>
  <si>
    <t>O2 CLEANING BOLTUPS</t>
  </si>
  <si>
    <t>90003</t>
  </si>
  <si>
    <t>TURBINE DUCT TUBING</t>
  </si>
  <si>
    <t>TYPE M / L / K  .028 - .049 WALL - 3/8 (CU)</t>
  </si>
  <si>
    <t>TYPE M / L / K  .028 - .049 WALL - 1/2 (CU)</t>
  </si>
  <si>
    <t>CV - 4 (INSTALL)</t>
  </si>
  <si>
    <t>CV - 6 (INSTALL)</t>
  </si>
  <si>
    <t>PDI - (INSTALL)</t>
  </si>
  <si>
    <t>INSTALL VALVE</t>
  </si>
  <si>
    <t>90004</t>
  </si>
  <si>
    <t>X788N TO L7</t>
  </si>
  <si>
    <t>.035 WALL - 3/8 (SS)</t>
  </si>
  <si>
    <t>.049 WALL - 1/2 (SS)</t>
  </si>
  <si>
    <t>1/2" INSTALL CONNECTIONS</t>
  </si>
  <si>
    <t>3/8" INSTALL CONNECTIONS</t>
  </si>
  <si>
    <t>1/2" BOLTUP</t>
  </si>
  <si>
    <t>CREATE DOUBLE COIL</t>
  </si>
  <si>
    <t>90005</t>
  </si>
  <si>
    <t>TE - (INSTALL)</t>
  </si>
  <si>
    <t>TI - (INSTALL)</t>
  </si>
  <si>
    <t>99990</t>
  </si>
  <si>
    <t>TUBING SUPPORTS</t>
  </si>
  <si>
    <t>INSTALL RACEWAY</t>
  </si>
  <si>
    <t>INSTALL SUPPORTS</t>
  </si>
  <si>
    <t>DEMOBILIZE</t>
  </si>
  <si>
    <t>190001</t>
  </si>
  <si>
    <t>SITE CLEAN UP</t>
  </si>
  <si>
    <t>DURING CONSTRUCTION</t>
  </si>
  <si>
    <t>190002</t>
  </si>
  <si>
    <t>EQUIPMENT REMOVAL</t>
  </si>
  <si>
    <t>190003</t>
  </si>
  <si>
    <t>TRAILER REMOVAL</t>
  </si>
  <si>
    <t>WEEK</t>
  </si>
  <si>
    <t>SUPPORT</t>
  </si>
  <si>
    <t>200100</t>
  </si>
  <si>
    <t>PROJECT MANAGER</t>
  </si>
  <si>
    <t>WEEK (60 HRS)</t>
  </si>
  <si>
    <t>Filter</t>
  </si>
  <si>
    <t>T</t>
  </si>
  <si>
    <t>Estimate Basis</t>
  </si>
  <si>
    <t>Progress (These values calculate automatically)</t>
  </si>
  <si>
    <t>QTY
COMPLETE</t>
  </si>
  <si>
    <t>QTY REMAINING</t>
  </si>
  <si>
    <t>MH EARNED</t>
  </si>
  <si>
    <t>MH REMAINING
TO EARN</t>
  </si>
  <si>
    <t>% COMPLETE</t>
  </si>
  <si>
    <t>Start Date</t>
  </si>
  <si>
    <t>Week 1</t>
  </si>
  <si>
    <t>Week 2</t>
  </si>
  <si>
    <t>Week 3</t>
  </si>
  <si>
    <t>Week 4</t>
  </si>
  <si>
    <t>Week 5</t>
  </si>
  <si>
    <t>Week 6</t>
  </si>
  <si>
    <t>WE</t>
  </si>
  <si>
    <t>M</t>
  </si>
  <si>
    <t>Tu</t>
  </si>
  <si>
    <t>W</t>
  </si>
  <si>
    <t>Th</t>
  </si>
  <si>
    <t>F</t>
  </si>
  <si>
    <t>Sa</t>
  </si>
  <si>
    <t>Weekly Quantitities Complete</t>
  </si>
  <si>
    <t>Weekly Earned 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</si>
</sst>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* #,##0.00_);_(* \\\(#,##0.00\\\);_(* &quot;-&quot;??_);_(@_)"/>
    <numFmt numFmtId="165" formatCode="mm/dd/yy;@"/>
  </numFmts>
  <fonts count="33">
    <font>
      <sz val="11"/>
      <name val="Calibri"/>
    </font>
    <font>
      <sz val="11"/>
      <name val="Calibri"/>
      <family val="2"/>
    </font>
    <font>
      <sz val="10"/>
      <name val="Calibri (Body)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color theme="9" tint="0.79998168889431442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0"/>
      <color theme="0"/>
      <name val="Calibri"/>
      <family val="2"/>
    </font>
    <font>
      <b/>
      <sz val="11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EDA"/>
      </patternFill>
    </fill>
    <fill>
      <patternFill patternType="solid">
        <fgColor rgb="FFE2EEDA"/>
      </patternFill>
    </fill>
    <fill>
      <patternFill patternType="solid">
        <fgColor rgb="FFE2EEDA"/>
      </patternFill>
    </fill>
    <fill>
      <patternFill patternType="solid">
        <fgColor rgb="FFE2EEDA"/>
      </patternFill>
    </fill>
    <fill>
      <patternFill patternType="solid">
        <fgColor rgb="FFE2EEDA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6">
    <xf numFmtId="0" fontId="0" fillId="0" borderId="0" xfId="0"/>
    <xf numFmtId="0" fontId="0" fillId="0" borderId="0" xfId="0" applyAlignment="1">
      <alignment vertical="center"/>
    </xf>
    <xf numFmtId="0" fontId="4" fillId="4" borderId="0" xfId="0" applyFont="1" applyFill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164" fontId="7" fillId="7" borderId="0" xfId="0" applyNumberFormat="1" applyFont="1" applyFill="1" applyAlignment="1">
      <alignment horizontal="right" vertical="center"/>
    </xf>
    <xf numFmtId="164" fontId="8" fillId="8" borderId="4" xfId="0" applyNumberFormat="1" applyFont="1" applyFill="1" applyBorder="1" applyAlignment="1">
      <alignment horizontal="right" vertical="center"/>
    </xf>
    <xf numFmtId="44" fontId="9" fillId="9" borderId="0" xfId="0" applyNumberFormat="1" applyFont="1" applyFill="1" applyAlignment="1">
      <alignment horizontal="right" vertical="center"/>
    </xf>
    <xf numFmtId="0" fontId="11" fillId="11" borderId="0" xfId="0" applyFont="1" applyFill="1" applyAlignment="1">
      <alignment horizontal="right" vertical="center"/>
    </xf>
    <xf numFmtId="0" fontId="13" fillId="13" borderId="0" xfId="0" applyFont="1" applyFill="1" applyAlignment="1">
      <alignment horizontal="left" vertical="center"/>
    </xf>
    <xf numFmtId="164" fontId="14" fillId="14" borderId="0" xfId="0" applyNumberFormat="1" applyFont="1" applyFill="1" applyAlignment="1">
      <alignment horizontal="right" vertical="center"/>
    </xf>
    <xf numFmtId="164" fontId="15" fillId="15" borderId="5" xfId="0" applyNumberFormat="1" applyFont="1" applyFill="1" applyBorder="1" applyAlignment="1">
      <alignment horizontal="right" vertical="center"/>
    </xf>
    <xf numFmtId="44" fontId="16" fillId="16" borderId="0" xfId="0" applyNumberFormat="1" applyFont="1" applyFill="1" applyAlignment="1">
      <alignment horizontal="right" vertical="center"/>
    </xf>
    <xf numFmtId="0" fontId="18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right" vertical="center"/>
    </xf>
    <xf numFmtId="164" fontId="20" fillId="0" borderId="6" xfId="0" applyNumberFormat="1" applyFont="1" applyBorder="1" applyAlignment="1">
      <alignment horizontal="right" vertical="center"/>
    </xf>
    <xf numFmtId="164" fontId="23" fillId="20" borderId="9" xfId="0" applyNumberFormat="1" applyFont="1" applyFill="1" applyBorder="1" applyAlignment="1">
      <alignment horizontal="right" vertical="center"/>
    </xf>
    <xf numFmtId="164" fontId="24" fillId="21" borderId="10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6" fillId="19" borderId="8" xfId="0" applyFont="1" applyFill="1" applyBorder="1" applyAlignment="1">
      <alignment horizontal="right" vertical="center"/>
    </xf>
    <xf numFmtId="0" fontId="28" fillId="0" borderId="3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27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right" vertical="center"/>
    </xf>
    <xf numFmtId="0" fontId="0" fillId="0" borderId="15" xfId="0" applyBorder="1" applyAlignment="1">
      <alignment vertical="center"/>
    </xf>
    <xf numFmtId="0" fontId="0" fillId="0" borderId="18" xfId="0" applyBorder="1" applyAlignment="1">
      <alignment vertical="center"/>
    </xf>
    <xf numFmtId="10" fontId="0" fillId="0" borderId="19" xfId="1" applyNumberFormat="1" applyFont="1" applyFill="1" applyBorder="1" applyAlignment="1">
      <alignment vertical="center"/>
    </xf>
    <xf numFmtId="0" fontId="29" fillId="0" borderId="20" xfId="0" applyFont="1" applyBorder="1" applyAlignment="1">
      <alignment horizontal="right" vertical="center"/>
    </xf>
    <xf numFmtId="0" fontId="29" fillId="0" borderId="20" xfId="0" applyFont="1" applyBorder="1" applyAlignment="1">
      <alignment vertical="center"/>
    </xf>
    <xf numFmtId="0" fontId="0" fillId="0" borderId="1" xfId="0" applyBorder="1" applyAlignment="1">
      <alignment vertical="center"/>
    </xf>
    <xf numFmtId="10" fontId="0" fillId="0" borderId="7" xfId="1" applyNumberFormat="1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165" fontId="32" fillId="23" borderId="3" xfId="0" applyNumberFormat="1" applyFont="1" applyFill="1" applyBorder="1" applyAlignment="1">
      <alignment horizontal="center" vertical="center"/>
    </xf>
    <xf numFmtId="165" fontId="32" fillId="24" borderId="3" xfId="0" applyNumberFormat="1" applyFont="1" applyFill="1" applyBorder="1" applyAlignment="1">
      <alignment horizontal="center" vertical="center"/>
    </xf>
    <xf numFmtId="165" fontId="32" fillId="25" borderId="3" xfId="0" applyNumberFormat="1" applyFont="1" applyFill="1" applyBorder="1" applyAlignment="1">
      <alignment horizontal="center" vertical="center"/>
    </xf>
    <xf numFmtId="165" fontId="32" fillId="26" borderId="3" xfId="0" applyNumberFormat="1" applyFont="1" applyFill="1" applyBorder="1" applyAlignment="1">
      <alignment horizontal="center" vertical="center"/>
    </xf>
    <xf numFmtId="165" fontId="32" fillId="27" borderId="3" xfId="0" applyNumberFormat="1" applyFont="1" applyFill="1" applyBorder="1" applyAlignment="1">
      <alignment horizontal="center" vertical="center"/>
    </xf>
    <xf numFmtId="165" fontId="32" fillId="28" borderId="3" xfId="0" applyNumberFormat="1" applyFont="1" applyFill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8" fillId="29" borderId="15" xfId="0" applyFont="1" applyFill="1" applyBorder="1" applyAlignment="1">
      <alignment horizontal="left" vertical="center"/>
    </xf>
    <xf numFmtId="0" fontId="0" fillId="29" borderId="18" xfId="0" applyFill="1" applyBorder="1" applyAlignment="1">
      <alignment horizontal="center" vertical="center"/>
    </xf>
    <xf numFmtId="0" fontId="0" fillId="29" borderId="19" xfId="0" applyFill="1" applyBorder="1" applyAlignment="1">
      <alignment horizontal="center" vertical="center"/>
    </xf>
    <xf numFmtId="0" fontId="28" fillId="30" borderId="3" xfId="0" applyFont="1" applyFill="1" applyBorder="1" applyAlignment="1">
      <alignment vertical="center"/>
    </xf>
    <xf numFmtId="0" fontId="0" fillId="30" borderId="11" xfId="0" applyFill="1" applyBorder="1" applyAlignment="1">
      <alignment vertical="center"/>
    </xf>
    <xf numFmtId="0" fontId="0" fillId="30" borderId="12" xfId="0" applyFill="1" applyBorder="1" applyAlignment="1">
      <alignment vertical="center"/>
    </xf>
    <xf numFmtId="165" fontId="0" fillId="0" borderId="14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2" fontId="0" fillId="0" borderId="0" xfId="0" applyNumberFormat="1"/>
    <xf numFmtId="0" fontId="0" fillId="0" borderId="27" xfId="0" applyBorder="1" applyAlignment="1">
      <alignment vertical="center"/>
    </xf>
    <xf numFmtId="0" fontId="0" fillId="29" borderId="27" xfId="0" applyFill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29" borderId="28" xfId="0" applyFill="1" applyBorder="1" applyAlignment="1">
      <alignment vertical="center"/>
    </xf>
    <xf numFmtId="0" fontId="0" fillId="29" borderId="29" xfId="0" applyFill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29" borderId="33" xfId="0" applyFill="1" applyBorder="1" applyAlignment="1">
      <alignment vertical="center"/>
    </xf>
    <xf numFmtId="0" fontId="0" fillId="29" borderId="34" xfId="0" applyFill="1" applyBorder="1" applyAlignment="1">
      <alignment vertical="center"/>
    </xf>
    <xf numFmtId="0" fontId="0" fillId="29" borderId="35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10" fontId="0" fillId="0" borderId="12" xfId="1" applyNumberFormat="1" applyFont="1" applyBorder="1" applyAlignment="1">
      <alignment vertical="center"/>
    </xf>
    <xf numFmtId="10" fontId="2" fillId="0" borderId="12" xfId="1" applyNumberFormat="1" applyFont="1" applyBorder="1" applyAlignment="1">
      <alignment horizontal="center" vertical="center" wrapText="1"/>
    </xf>
    <xf numFmtId="10" fontId="16" fillId="16" borderId="7" xfId="1" applyNumberFormat="1" applyFont="1" applyFill="1" applyBorder="1" applyAlignment="1">
      <alignment horizontal="right" vertical="center"/>
    </xf>
    <xf numFmtId="10" fontId="21" fillId="0" borderId="7" xfId="1" applyNumberFormat="1" applyFont="1" applyBorder="1" applyAlignment="1">
      <alignment horizontal="right" vertical="center"/>
    </xf>
    <xf numFmtId="10" fontId="9" fillId="9" borderId="7" xfId="1" applyNumberFormat="1" applyFont="1" applyFill="1" applyBorder="1" applyAlignment="1">
      <alignment horizontal="right" vertical="center"/>
    </xf>
    <xf numFmtId="10" fontId="25" fillId="22" borderId="12" xfId="1" applyNumberFormat="1" applyFont="1" applyFill="1" applyBorder="1" applyAlignment="1">
      <alignment horizontal="right" vertical="center"/>
    </xf>
    <xf numFmtId="10" fontId="0" fillId="0" borderId="0" xfId="1" applyNumberFormat="1" applyFont="1" applyAlignment="1">
      <alignment vertical="center"/>
    </xf>
    <xf numFmtId="2" fontId="0" fillId="0" borderId="15" xfId="0" applyNumberFormat="1" applyBorder="1" applyAlignment="1">
      <alignment vertical="center"/>
    </xf>
    <xf numFmtId="2" fontId="0" fillId="0" borderId="18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2" fontId="29" fillId="0" borderId="20" xfId="0" applyNumberFormat="1" applyFont="1" applyBorder="1" applyAlignment="1">
      <alignment vertical="center"/>
    </xf>
    <xf numFmtId="2" fontId="29" fillId="0" borderId="1" xfId="0" applyNumberFormat="1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20" xfId="0" applyNumberFormat="1" applyBorder="1" applyAlignment="1">
      <alignment vertical="center"/>
    </xf>
    <xf numFmtId="2" fontId="28" fillId="0" borderId="3" xfId="0" applyNumberFormat="1" applyFont="1" applyBorder="1" applyAlignment="1">
      <alignment vertical="center"/>
    </xf>
    <xf numFmtId="2" fontId="28" fillId="0" borderId="11" xfId="0" applyNumberFormat="1" applyFont="1" applyBorder="1" applyAlignment="1">
      <alignment vertical="center"/>
    </xf>
    <xf numFmtId="2" fontId="0" fillId="0" borderId="11" xfId="0" applyNumberFormat="1" applyBorder="1" applyAlignment="1">
      <alignment vertical="center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2" fontId="9" fillId="9" borderId="15" xfId="0" applyNumberFormat="1" applyFont="1" applyFill="1" applyBorder="1" applyAlignment="1">
      <alignment horizontal="right" vertical="center"/>
    </xf>
    <xf numFmtId="2" fontId="9" fillId="9" borderId="18" xfId="0" applyNumberFormat="1" applyFont="1" applyFill="1" applyBorder="1" applyAlignment="1">
      <alignment horizontal="right" vertical="center"/>
    </xf>
    <xf numFmtId="2" fontId="16" fillId="16" borderId="20" xfId="0" applyNumberFormat="1" applyFont="1" applyFill="1" applyBorder="1" applyAlignment="1">
      <alignment horizontal="right" vertical="center"/>
    </xf>
    <xf numFmtId="2" fontId="16" fillId="16" borderId="1" xfId="0" applyNumberFormat="1" applyFont="1" applyFill="1" applyBorder="1" applyAlignment="1">
      <alignment horizontal="right" vertical="center"/>
    </xf>
    <xf numFmtId="2" fontId="21" fillId="0" borderId="20" xfId="0" applyNumberFormat="1" applyFont="1" applyBorder="1" applyAlignment="1">
      <alignment horizontal="right" vertical="center"/>
    </xf>
    <xf numFmtId="2" fontId="21" fillId="0" borderId="1" xfId="0" applyNumberFormat="1" applyFont="1" applyBorder="1" applyAlignment="1">
      <alignment horizontal="right" vertical="center"/>
    </xf>
    <xf numFmtId="2" fontId="9" fillId="9" borderId="20" xfId="0" applyNumberFormat="1" applyFont="1" applyFill="1" applyBorder="1" applyAlignment="1">
      <alignment horizontal="right" vertical="center"/>
    </xf>
    <xf numFmtId="2" fontId="9" fillId="9" borderId="1" xfId="0" applyNumberFormat="1" applyFont="1" applyFill="1" applyBorder="1" applyAlignment="1">
      <alignment horizontal="right" vertical="center"/>
    </xf>
    <xf numFmtId="2" fontId="25" fillId="22" borderId="3" xfId="0" applyNumberFormat="1" applyFont="1" applyFill="1" applyBorder="1" applyAlignment="1">
      <alignment horizontal="right" vertical="center"/>
    </xf>
    <xf numFmtId="2" fontId="25" fillId="22" borderId="11" xfId="0" applyNumberFormat="1" applyFont="1" applyFill="1" applyBorder="1" applyAlignment="1">
      <alignment horizontal="right" vertical="center"/>
    </xf>
    <xf numFmtId="10" fontId="28" fillId="17" borderId="7" xfId="0" applyNumberFormat="1" applyFont="1" applyFill="1" applyBorder="1" applyAlignment="1">
      <alignment horizontal="right" vertical="center"/>
    </xf>
    <xf numFmtId="2" fontId="0" fillId="0" borderId="30" xfId="0" applyNumberFormat="1" applyBorder="1" applyAlignment="1">
      <alignment vertical="center"/>
    </xf>
    <xf numFmtId="2" fontId="0" fillId="0" borderId="31" xfId="0" applyNumberFormat="1" applyBorder="1" applyAlignment="1">
      <alignment vertical="center"/>
    </xf>
    <xf numFmtId="2" fontId="0" fillId="0" borderId="28" xfId="0" applyNumberFormat="1" applyBorder="1" applyAlignment="1">
      <alignment vertical="center"/>
    </xf>
    <xf numFmtId="2" fontId="0" fillId="0" borderId="27" xfId="0" applyNumberFormat="1" applyBorder="1" applyAlignment="1">
      <alignment vertical="center"/>
    </xf>
    <xf numFmtId="2" fontId="0" fillId="0" borderId="29" xfId="0" applyNumberFormat="1" applyBorder="1" applyAlignment="1">
      <alignment vertical="center"/>
    </xf>
    <xf numFmtId="2" fontId="0" fillId="29" borderId="28" xfId="0" applyNumberFormat="1" applyFill="1" applyBorder="1" applyAlignment="1">
      <alignment vertical="center"/>
    </xf>
    <xf numFmtId="2" fontId="0" fillId="29" borderId="27" xfId="0" applyNumberFormat="1" applyFill="1" applyBorder="1" applyAlignment="1">
      <alignment vertical="center"/>
    </xf>
    <xf numFmtId="2" fontId="0" fillId="29" borderId="29" xfId="0" applyNumberFormat="1" applyFill="1" applyBorder="1" applyAlignment="1">
      <alignment vertical="center"/>
    </xf>
    <xf numFmtId="2" fontId="0" fillId="0" borderId="14" xfId="0" applyNumberFormat="1" applyBorder="1" applyAlignment="1">
      <alignment vertical="center"/>
    </xf>
    <xf numFmtId="2" fontId="0" fillId="0" borderId="25" xfId="0" applyNumberFormat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right" vertical="center"/>
    </xf>
    <xf numFmtId="0" fontId="5" fillId="5" borderId="18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right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right" vertical="center"/>
    </xf>
    <xf numFmtId="0" fontId="12" fillId="12" borderId="1" xfId="0" applyFont="1" applyFill="1" applyBorder="1" applyAlignment="1">
      <alignment horizontal="left" vertical="center"/>
    </xf>
    <xf numFmtId="0" fontId="11" fillId="11" borderId="7" xfId="0" applyFont="1" applyFill="1" applyBorder="1" applyAlignment="1">
      <alignment horizontal="right" vertical="center"/>
    </xf>
    <xf numFmtId="0" fontId="17" fillId="0" borderId="2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17" fillId="0" borderId="7" xfId="0" applyFont="1" applyBorder="1" applyAlignment="1">
      <alignment horizontal="right" vertical="center"/>
    </xf>
    <xf numFmtId="44" fontId="21" fillId="0" borderId="20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44" fontId="21" fillId="0" borderId="1" xfId="0" applyNumberFormat="1" applyFont="1" applyBorder="1" applyAlignment="1">
      <alignment horizontal="center" vertical="center"/>
    </xf>
    <xf numFmtId="44" fontId="21" fillId="0" borderId="1" xfId="0" applyNumberFormat="1" applyFont="1" applyBorder="1" applyAlignment="1">
      <alignment horizontal="right" vertical="center"/>
    </xf>
    <xf numFmtId="44" fontId="21" fillId="0" borderId="7" xfId="0" applyNumberFormat="1" applyFont="1" applyBorder="1" applyAlignment="1">
      <alignment horizontal="right" vertical="center"/>
    </xf>
    <xf numFmtId="44" fontId="16" fillId="16" borderId="20" xfId="0" applyNumberFormat="1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44" fontId="16" fillId="16" borderId="1" xfId="0" applyNumberFormat="1" applyFont="1" applyFill="1" applyBorder="1" applyAlignment="1">
      <alignment horizontal="center" vertical="center"/>
    </xf>
    <xf numFmtId="44" fontId="16" fillId="16" borderId="1" xfId="0" applyNumberFormat="1" applyFont="1" applyFill="1" applyBorder="1" applyAlignment="1">
      <alignment horizontal="right" vertical="center"/>
    </xf>
    <xf numFmtId="0" fontId="13" fillId="13" borderId="1" xfId="0" applyFont="1" applyFill="1" applyBorder="1" applyAlignment="1">
      <alignment horizontal="left" vertical="center"/>
    </xf>
    <xf numFmtId="44" fontId="16" fillId="16" borderId="7" xfId="0" applyNumberFormat="1" applyFont="1" applyFill="1" applyBorder="1" applyAlignment="1">
      <alignment horizontal="right" vertical="center"/>
    </xf>
    <xf numFmtId="0" fontId="22" fillId="17" borderId="20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4" fontId="9" fillId="9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44" fontId="9" fillId="9" borderId="7" xfId="0" applyNumberFormat="1" applyFont="1" applyFill="1" applyBorder="1" applyAlignment="1">
      <alignment horizontal="right" vertical="center"/>
    </xf>
    <xf numFmtId="0" fontId="27" fillId="0" borderId="1" xfId="0" applyFont="1" applyBorder="1" applyAlignment="1">
      <alignment horizontal="left" vertical="center"/>
    </xf>
    <xf numFmtId="164" fontId="19" fillId="0" borderId="20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right" vertical="center"/>
    </xf>
    <xf numFmtId="164" fontId="19" fillId="0" borderId="7" xfId="0" applyNumberFormat="1" applyFont="1" applyBorder="1" applyAlignment="1">
      <alignment horizontal="right" vertical="center"/>
    </xf>
    <xf numFmtId="0" fontId="26" fillId="18" borderId="3" xfId="0" applyFont="1" applyFill="1" applyBorder="1" applyAlignment="1">
      <alignment horizontal="center" vertical="center"/>
    </xf>
    <xf numFmtId="0" fontId="26" fillId="18" borderId="11" xfId="0" applyFont="1" applyFill="1" applyBorder="1" applyAlignment="1">
      <alignment horizontal="center" vertical="center"/>
    </xf>
    <xf numFmtId="0" fontId="26" fillId="19" borderId="11" xfId="0" applyFont="1" applyFill="1" applyBorder="1" applyAlignment="1">
      <alignment horizontal="center" vertical="center"/>
    </xf>
    <xf numFmtId="0" fontId="26" fillId="19" borderId="11" xfId="0" applyFont="1" applyFill="1" applyBorder="1" applyAlignment="1">
      <alignment horizontal="right" vertical="center"/>
    </xf>
    <xf numFmtId="0" fontId="26" fillId="19" borderId="12" xfId="0" applyFont="1" applyFill="1" applyBorder="1" applyAlignment="1">
      <alignment horizontal="right" vertical="center"/>
    </xf>
    <xf numFmtId="0" fontId="29" fillId="0" borderId="16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21" xfId="0" applyFont="1" applyBorder="1" applyAlignment="1">
      <alignment horizontal="left" vertical="center"/>
    </xf>
    <xf numFmtId="165" fontId="32" fillId="26" borderId="11" xfId="0" applyNumberFormat="1" applyFont="1" applyFill="1" applyBorder="1" applyAlignment="1">
      <alignment horizontal="left" vertical="center"/>
    </xf>
    <xf numFmtId="165" fontId="32" fillId="26" borderId="12" xfId="0" applyNumberFormat="1" applyFont="1" applyFill="1" applyBorder="1" applyAlignment="1">
      <alignment horizontal="left" vertical="center"/>
    </xf>
    <xf numFmtId="165" fontId="32" fillId="27" borderId="11" xfId="0" applyNumberFormat="1" applyFont="1" applyFill="1" applyBorder="1" applyAlignment="1">
      <alignment horizontal="left" vertical="center"/>
    </xf>
    <xf numFmtId="165" fontId="32" fillId="27" borderId="12" xfId="0" applyNumberFormat="1" applyFont="1" applyFill="1" applyBorder="1" applyAlignment="1">
      <alignment horizontal="left" vertical="center"/>
    </xf>
    <xf numFmtId="165" fontId="32" fillId="28" borderId="11" xfId="0" applyNumberFormat="1" applyFont="1" applyFill="1" applyBorder="1" applyAlignment="1">
      <alignment horizontal="left" vertical="center"/>
    </xf>
    <xf numFmtId="165" fontId="32" fillId="28" borderId="12" xfId="0" applyNumberFormat="1" applyFont="1" applyFill="1" applyBorder="1" applyAlignment="1">
      <alignment horizontal="left" vertical="center"/>
    </xf>
    <xf numFmtId="165" fontId="29" fillId="0" borderId="1" xfId="0" applyNumberFormat="1" applyFont="1" applyBorder="1" applyAlignment="1">
      <alignment horizontal="left" vertical="center"/>
    </xf>
    <xf numFmtId="165" fontId="29" fillId="0" borderId="7" xfId="0" applyNumberFormat="1" applyFont="1" applyBorder="1" applyAlignment="1">
      <alignment horizontal="left" vertical="center"/>
    </xf>
    <xf numFmtId="165" fontId="32" fillId="23" borderId="11" xfId="0" applyNumberFormat="1" applyFont="1" applyFill="1" applyBorder="1" applyAlignment="1">
      <alignment horizontal="left" vertical="center"/>
    </xf>
    <xf numFmtId="165" fontId="32" fillId="23" borderId="12" xfId="0" applyNumberFormat="1" applyFont="1" applyFill="1" applyBorder="1" applyAlignment="1">
      <alignment horizontal="left" vertical="center"/>
    </xf>
    <xf numFmtId="165" fontId="32" fillId="24" borderId="11" xfId="0" applyNumberFormat="1" applyFont="1" applyFill="1" applyBorder="1" applyAlignment="1">
      <alignment horizontal="left" vertical="center"/>
    </xf>
    <xf numFmtId="165" fontId="32" fillId="24" borderId="12" xfId="0" applyNumberFormat="1" applyFont="1" applyFill="1" applyBorder="1" applyAlignment="1">
      <alignment horizontal="left" vertical="center"/>
    </xf>
    <xf numFmtId="165" fontId="32" fillId="25" borderId="11" xfId="0" applyNumberFormat="1" applyFont="1" applyFill="1" applyBorder="1" applyAlignment="1">
      <alignment horizontal="left" vertical="center"/>
    </xf>
    <xf numFmtId="165" fontId="32" fillId="25" borderId="12" xfId="0" applyNumberFormat="1" applyFont="1" applyFill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36" xfId="0" applyNumberFormat="1" applyBorder="1" applyAlignment="1">
      <alignment vertical="center"/>
    </xf>
    <xf numFmtId="2" fontId="0" fillId="0" borderId="37" xfId="0" applyNumberFormat="1" applyBorder="1" applyAlignment="1">
      <alignment vertical="center"/>
    </xf>
    <xf numFmtId="2" fontId="0" fillId="0" borderId="38" xfId="0" applyNumberFormat="1" applyBorder="1" applyAlignment="1">
      <alignment vertical="center"/>
    </xf>
    <xf numFmtId="165" fontId="0" fillId="0" borderId="42" xfId="0" applyNumberFormat="1" applyBorder="1" applyAlignment="1">
      <alignment horizontal="center" vertical="center"/>
    </xf>
    <xf numFmtId="165" fontId="0" fillId="0" borderId="43" xfId="0" applyNumberFormat="1" applyBorder="1" applyAlignment="1">
      <alignment horizontal="center" vertical="center"/>
    </xf>
    <xf numFmtId="2" fontId="0" fillId="0" borderId="39" xfId="0" applyNumberFormat="1" applyBorder="1" applyAlignment="1">
      <alignment vertical="center"/>
    </xf>
    <xf numFmtId="2" fontId="0" fillId="0" borderId="40" xfId="0" applyNumberFormat="1" applyBorder="1" applyAlignment="1">
      <alignment vertical="center"/>
    </xf>
    <xf numFmtId="2" fontId="0" fillId="0" borderId="41" xfId="0" applyNumberForma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416"/>
  <sheetViews>
    <sheetView tabSelected="1" zoomScale="80" zoomScaleNormal="80" workbookViewId="0">
      <selection activeCell="AT1" sqref="AT1:AY1048576"/>
    </sheetView>
  </sheetViews>
  <sheetFormatPr defaultColWidth="8.85546875" defaultRowHeight="15" outlineLevelCol="1"/>
  <cols>
    <col min="1" max="1" width="9.7109375" style="17" bestFit="1" customWidth="1"/>
    <col min="2" max="2" width="10.140625" style="17" bestFit="1" customWidth="1"/>
    <col min="3" max="3" width="11.85546875" style="17" bestFit="1" customWidth="1"/>
    <col min="4" max="4" width="19.140625" style="1" bestFit="1" customWidth="1"/>
    <col min="5" max="5" width="7" style="1" customWidth="1"/>
    <col min="6" max="6" width="55" style="1" customWidth="1"/>
    <col min="7" max="7" width="11" style="1" customWidth="1"/>
    <col min="8" max="9" width="8" style="1" customWidth="1"/>
    <col min="10" max="10" width="7" style="1" customWidth="1"/>
    <col min="11" max="15" width="12.7109375" style="1" customWidth="1"/>
    <col min="16" max="19" width="12.7109375" style="99" customWidth="1"/>
    <col min="20" max="20" width="12.7109375" style="96" customWidth="1"/>
    <col min="21" max="21" width="4.7109375" customWidth="1"/>
    <col min="22" max="33" width="5.7109375" style="1" hidden="1" customWidth="1" outlineLevel="1"/>
    <col min="34" max="34" width="5.7109375" style="1" hidden="1" customWidth="1" outlineLevel="1" collapsed="1"/>
    <col min="35" max="39" width="5.7109375" style="1" hidden="1" customWidth="1" outlineLevel="1"/>
    <col min="40" max="40" width="5.7109375" style="1" hidden="1" customWidth="1" outlineLevel="1" collapsed="1"/>
    <col min="41" max="51" width="5.7109375" style="1" hidden="1" customWidth="1" outlineLevel="1"/>
    <col min="52" max="52" width="5.7109375" style="1" customWidth="1" collapsed="1"/>
    <col min="53" max="63" width="5.7109375" style="1" customWidth="1"/>
    <col min="64" max="64" width="4.7109375" customWidth="1"/>
    <col min="65" max="71" width="10.7109375" style="1" customWidth="1"/>
    <col min="72" max="72" width="4.7109375" customWidth="1"/>
    <col min="73" max="79" width="10.7109375" style="1" customWidth="1"/>
    <col min="80" max="16384" width="8.85546875" style="1"/>
  </cols>
  <sheetData>
    <row r="1" spans="1:79" ht="15" customHeight="1">
      <c r="A1" s="36"/>
      <c r="B1" s="37" t="s">
        <v>0</v>
      </c>
      <c r="C1" s="37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38" t="s">
        <v>0</v>
      </c>
      <c r="K1" s="27" t="s">
        <v>1</v>
      </c>
      <c r="L1" s="175" t="s">
        <v>2</v>
      </c>
      <c r="M1" s="175" t="s">
        <v>0</v>
      </c>
      <c r="N1" s="175" t="s">
        <v>0</v>
      </c>
      <c r="O1" s="176" t="s">
        <v>0</v>
      </c>
      <c r="P1" s="97" t="s">
        <v>342</v>
      </c>
      <c r="Q1" s="98">
        <v>45838</v>
      </c>
      <c r="S1" s="98"/>
      <c r="T1" s="30"/>
      <c r="V1" s="28"/>
      <c r="W1" s="29"/>
      <c r="X1" s="29"/>
      <c r="Y1" s="29"/>
      <c r="Z1" s="29"/>
      <c r="AA1" s="38"/>
      <c r="AB1" s="28"/>
      <c r="AC1" s="29"/>
      <c r="AD1" s="29"/>
      <c r="AE1" s="29"/>
      <c r="AF1" s="29"/>
      <c r="AG1" s="38"/>
      <c r="AH1" s="28"/>
      <c r="AI1" s="29"/>
      <c r="AJ1" s="29"/>
      <c r="AK1" s="29"/>
      <c r="AL1" s="29"/>
      <c r="AM1" s="38"/>
      <c r="AN1" s="28"/>
      <c r="AO1" s="29"/>
      <c r="AP1" s="29"/>
      <c r="AQ1" s="29"/>
      <c r="AR1" s="29"/>
      <c r="AS1" s="38"/>
      <c r="AT1" s="28"/>
      <c r="AU1" s="29"/>
      <c r="AV1" s="29"/>
      <c r="AW1" s="29"/>
      <c r="AX1" s="29"/>
      <c r="AY1" s="38"/>
      <c r="AZ1" s="28"/>
      <c r="BA1" s="29"/>
      <c r="BB1" s="29"/>
      <c r="BC1" s="29"/>
      <c r="BD1" s="29"/>
      <c r="BE1" s="38"/>
      <c r="BF1" s="28"/>
      <c r="BG1" s="29"/>
      <c r="BH1" s="29"/>
      <c r="BI1" s="29"/>
      <c r="BJ1" s="29"/>
      <c r="BK1" s="38"/>
      <c r="BM1" s="58"/>
      <c r="BN1" s="59"/>
      <c r="BO1" s="59"/>
      <c r="BP1" s="59"/>
      <c r="BQ1" s="59"/>
      <c r="BR1" s="59"/>
      <c r="BS1" s="60"/>
      <c r="BU1" s="58"/>
      <c r="BV1" s="59"/>
      <c r="BW1" s="59"/>
      <c r="BX1" s="59"/>
      <c r="BY1" s="59"/>
      <c r="BZ1" s="59"/>
      <c r="CA1" s="60"/>
    </row>
    <row r="2" spans="1:79" ht="15" customHeight="1">
      <c r="A2" s="39"/>
      <c r="B2" s="40" t="s">
        <v>0</v>
      </c>
      <c r="C2" s="40" t="s">
        <v>0</v>
      </c>
      <c r="D2" s="33" t="s">
        <v>0</v>
      </c>
      <c r="E2" s="33" t="s">
        <v>0</v>
      </c>
      <c r="F2" s="33" t="s">
        <v>0</v>
      </c>
      <c r="G2" s="33" t="s">
        <v>0</v>
      </c>
      <c r="H2" s="33" t="s">
        <v>0</v>
      </c>
      <c r="I2" s="33" t="s">
        <v>0</v>
      </c>
      <c r="J2" s="41" t="s">
        <v>0</v>
      </c>
      <c r="K2" s="31" t="s">
        <v>3</v>
      </c>
      <c r="L2" s="177" t="s">
        <v>4</v>
      </c>
      <c r="M2" s="178" t="s">
        <v>0</v>
      </c>
      <c r="N2" s="178" t="s">
        <v>0</v>
      </c>
      <c r="O2" s="179" t="s">
        <v>0</v>
      </c>
      <c r="P2" s="100"/>
      <c r="Q2" s="101"/>
      <c r="R2" s="102"/>
      <c r="S2" s="102"/>
      <c r="T2" s="34"/>
      <c r="V2" s="35"/>
      <c r="AA2" s="41"/>
      <c r="AB2" s="35"/>
      <c r="AG2" s="41"/>
      <c r="AH2" s="35"/>
      <c r="AM2" s="41"/>
      <c r="AN2" s="35"/>
      <c r="AS2" s="41"/>
      <c r="AT2" s="35"/>
      <c r="AY2" s="41"/>
      <c r="AZ2" s="35"/>
      <c r="BE2" s="41"/>
      <c r="BF2" s="35"/>
      <c r="BK2" s="41"/>
      <c r="BM2" s="61"/>
      <c r="BN2" s="197"/>
      <c r="BO2" s="197"/>
      <c r="BP2" s="197"/>
      <c r="BQ2" s="197"/>
      <c r="BR2" s="197"/>
      <c r="BS2" s="62"/>
      <c r="BU2" s="61"/>
      <c r="BV2" s="197"/>
      <c r="BW2" s="197"/>
      <c r="BX2" s="197"/>
      <c r="BY2" s="197"/>
      <c r="BZ2" s="197"/>
      <c r="CA2" s="62"/>
    </row>
    <row r="3" spans="1:79" ht="15" customHeight="1">
      <c r="A3" s="39"/>
      <c r="B3" s="40" t="s">
        <v>0</v>
      </c>
      <c r="C3" s="40" t="s">
        <v>0</v>
      </c>
      <c r="D3" s="33" t="s">
        <v>0</v>
      </c>
      <c r="E3" s="33" t="s">
        <v>0</v>
      </c>
      <c r="F3" s="33" t="s">
        <v>0</v>
      </c>
      <c r="G3" s="33" t="s">
        <v>0</v>
      </c>
      <c r="H3" s="33" t="s">
        <v>0</v>
      </c>
      <c r="I3" s="33" t="s">
        <v>0</v>
      </c>
      <c r="J3" s="41" t="s">
        <v>0</v>
      </c>
      <c r="K3" s="31" t="s">
        <v>5</v>
      </c>
      <c r="L3" s="178" t="s">
        <v>0</v>
      </c>
      <c r="M3" s="178" t="s">
        <v>0</v>
      </c>
      <c r="N3" s="178" t="s">
        <v>0</v>
      </c>
      <c r="O3" s="179" t="s">
        <v>0</v>
      </c>
      <c r="P3" s="103"/>
      <c r="Q3" s="102"/>
      <c r="R3" s="102"/>
      <c r="S3" s="102"/>
      <c r="T3" s="34"/>
      <c r="V3" s="35"/>
      <c r="AA3" s="41"/>
      <c r="AB3" s="35"/>
      <c r="AG3" s="41"/>
      <c r="AH3" s="35"/>
      <c r="AM3" s="41"/>
      <c r="AN3" s="35"/>
      <c r="AS3" s="41"/>
      <c r="AT3" s="35"/>
      <c r="AY3" s="41"/>
      <c r="AZ3" s="35"/>
      <c r="BE3" s="41"/>
      <c r="BF3" s="35"/>
      <c r="BK3" s="41"/>
      <c r="BM3" s="61"/>
      <c r="BN3" s="197"/>
      <c r="BO3" s="197"/>
      <c r="BP3" s="197"/>
      <c r="BQ3" s="197"/>
      <c r="BR3" s="197"/>
      <c r="BS3" s="62"/>
      <c r="BU3" s="61"/>
      <c r="BV3" s="197"/>
      <c r="BW3" s="197"/>
      <c r="BX3" s="197"/>
      <c r="BY3" s="197"/>
      <c r="BZ3" s="197"/>
      <c r="CA3" s="62"/>
    </row>
    <row r="4" spans="1:79" ht="15" customHeight="1">
      <c r="A4" s="39"/>
      <c r="B4" s="40" t="s">
        <v>0</v>
      </c>
      <c r="C4" s="40" t="s">
        <v>0</v>
      </c>
      <c r="D4" s="33" t="s">
        <v>0</v>
      </c>
      <c r="E4" s="33" t="s">
        <v>0</v>
      </c>
      <c r="F4" s="33" t="s">
        <v>0</v>
      </c>
      <c r="G4" s="33" t="s">
        <v>0</v>
      </c>
      <c r="H4" s="33" t="s">
        <v>0</v>
      </c>
      <c r="I4" s="33" t="s">
        <v>0</v>
      </c>
      <c r="J4" s="41" t="s">
        <v>0</v>
      </c>
      <c r="K4" s="31" t="s">
        <v>6</v>
      </c>
      <c r="L4" s="178" t="s">
        <v>7</v>
      </c>
      <c r="M4" s="178" t="s">
        <v>0</v>
      </c>
      <c r="N4" s="178" t="s">
        <v>0</v>
      </c>
      <c r="O4" s="179" t="s">
        <v>0</v>
      </c>
      <c r="P4" s="103"/>
      <c r="Q4" s="102"/>
      <c r="R4" s="102"/>
      <c r="S4" s="102"/>
      <c r="T4" s="34"/>
      <c r="V4" s="35"/>
      <c r="AA4" s="41"/>
      <c r="AB4" s="35"/>
      <c r="AG4" s="41"/>
      <c r="AH4" s="35"/>
      <c r="AM4" s="41"/>
      <c r="AN4" s="35"/>
      <c r="AS4" s="41"/>
      <c r="AT4" s="35"/>
      <c r="AY4" s="41"/>
      <c r="AZ4" s="35"/>
      <c r="BE4" s="41"/>
      <c r="BF4" s="35"/>
      <c r="BK4" s="41"/>
      <c r="BM4" s="61"/>
      <c r="BN4" s="197"/>
      <c r="BO4" s="197"/>
      <c r="BP4" s="197"/>
      <c r="BQ4" s="197"/>
      <c r="BR4" s="197"/>
      <c r="BS4" s="62"/>
      <c r="BU4" s="61"/>
      <c r="BV4" s="197"/>
      <c r="BW4" s="197"/>
      <c r="BX4" s="197"/>
      <c r="BY4" s="197"/>
      <c r="BZ4" s="197"/>
      <c r="CA4" s="62"/>
    </row>
    <row r="5" spans="1:79" ht="15" customHeight="1">
      <c r="A5" s="39"/>
      <c r="B5" s="40" t="s">
        <v>0</v>
      </c>
      <c r="C5" s="40" t="s">
        <v>0</v>
      </c>
      <c r="D5" s="33" t="s">
        <v>0</v>
      </c>
      <c r="E5" s="33" t="s">
        <v>0</v>
      </c>
      <c r="F5" s="33" t="s">
        <v>0</v>
      </c>
      <c r="G5" s="33" t="s">
        <v>0</v>
      </c>
      <c r="H5" s="33" t="s">
        <v>0</v>
      </c>
      <c r="I5" s="33" t="s">
        <v>0</v>
      </c>
      <c r="J5" s="41" t="s">
        <v>0</v>
      </c>
      <c r="K5" s="31" t="s">
        <v>8</v>
      </c>
      <c r="L5" s="178" t="s">
        <v>9</v>
      </c>
      <c r="M5" s="178" t="s">
        <v>0</v>
      </c>
      <c r="N5" s="178" t="s">
        <v>0</v>
      </c>
      <c r="O5" s="179" t="s">
        <v>0</v>
      </c>
      <c r="P5" s="103"/>
      <c r="Q5" s="102"/>
      <c r="R5" s="102"/>
      <c r="S5" s="102"/>
      <c r="T5" s="34"/>
      <c r="V5" s="35"/>
      <c r="AA5" s="41"/>
      <c r="AB5" s="35"/>
      <c r="AG5" s="41"/>
      <c r="AH5" s="35"/>
      <c r="AM5" s="41"/>
      <c r="AN5" s="35"/>
      <c r="AS5" s="41"/>
      <c r="AT5" s="35"/>
      <c r="AY5" s="41"/>
      <c r="AZ5" s="35"/>
      <c r="BE5" s="41"/>
      <c r="BF5" s="35"/>
      <c r="BK5" s="41"/>
      <c r="BM5" s="61"/>
      <c r="BN5" s="197"/>
      <c r="BO5" s="197"/>
      <c r="BP5" s="197"/>
      <c r="BQ5" s="197"/>
      <c r="BR5" s="197"/>
      <c r="BS5" s="62"/>
      <c r="BU5" s="61"/>
      <c r="BV5" s="197"/>
      <c r="BW5" s="197"/>
      <c r="BX5" s="197"/>
      <c r="BY5" s="197"/>
      <c r="BZ5" s="197"/>
      <c r="CA5" s="62"/>
    </row>
    <row r="6" spans="1:79" ht="15" customHeight="1">
      <c r="A6" s="39"/>
      <c r="B6" s="40" t="s">
        <v>0</v>
      </c>
      <c r="C6" s="40" t="s">
        <v>0</v>
      </c>
      <c r="D6" s="33" t="s">
        <v>0</v>
      </c>
      <c r="E6" s="33" t="s">
        <v>0</v>
      </c>
      <c r="F6" s="33" t="s">
        <v>0</v>
      </c>
      <c r="G6" s="33" t="s">
        <v>0</v>
      </c>
      <c r="H6" s="33" t="s">
        <v>0</v>
      </c>
      <c r="I6" s="33" t="s">
        <v>0</v>
      </c>
      <c r="J6" s="41" t="s">
        <v>0</v>
      </c>
      <c r="K6" s="31" t="s">
        <v>10</v>
      </c>
      <c r="L6" s="178" t="s">
        <v>11</v>
      </c>
      <c r="M6" s="178" t="s">
        <v>0</v>
      </c>
      <c r="N6" s="178" t="s">
        <v>0</v>
      </c>
      <c r="O6" s="179" t="s">
        <v>0</v>
      </c>
      <c r="P6" s="103"/>
      <c r="Q6" s="102"/>
      <c r="R6" s="102"/>
      <c r="S6" s="102"/>
      <c r="T6" s="34"/>
      <c r="V6" s="32" t="s">
        <v>343</v>
      </c>
      <c r="AA6" s="41"/>
      <c r="AB6" s="32" t="s">
        <v>344</v>
      </c>
      <c r="AG6" s="41"/>
      <c r="AH6" s="32" t="s">
        <v>345</v>
      </c>
      <c r="AM6" s="41"/>
      <c r="AN6" s="32" t="s">
        <v>346</v>
      </c>
      <c r="AS6" s="41"/>
      <c r="AT6" s="32" t="s">
        <v>347</v>
      </c>
      <c r="AY6" s="41"/>
      <c r="AZ6" s="32" t="s">
        <v>348</v>
      </c>
      <c r="BE6" s="41"/>
      <c r="BF6" s="32" t="s">
        <v>348</v>
      </c>
      <c r="BK6" s="41"/>
      <c r="BM6" s="61">
        <v>1</v>
      </c>
      <c r="BN6" s="197">
        <f>BM6+1</f>
        <v>2</v>
      </c>
      <c r="BO6" s="197">
        <f t="shared" ref="BO6:BS6" si="0">BN6+1</f>
        <v>3</v>
      </c>
      <c r="BP6" s="197">
        <f t="shared" si="0"/>
        <v>4</v>
      </c>
      <c r="BQ6" s="197">
        <f t="shared" si="0"/>
        <v>5</v>
      </c>
      <c r="BR6" s="197">
        <f t="shared" si="0"/>
        <v>6</v>
      </c>
      <c r="BS6" s="62">
        <f t="shared" si="0"/>
        <v>7</v>
      </c>
      <c r="BU6" s="61">
        <v>1</v>
      </c>
      <c r="BV6" s="197">
        <f>BU6+1</f>
        <v>2</v>
      </c>
      <c r="BW6" s="197">
        <f t="shared" ref="BW6:CA6" si="1">BV6+1</f>
        <v>3</v>
      </c>
      <c r="BX6" s="197">
        <f t="shared" si="1"/>
        <v>4</v>
      </c>
      <c r="BY6" s="197">
        <f t="shared" si="1"/>
        <v>5</v>
      </c>
      <c r="BZ6" s="197">
        <f t="shared" si="1"/>
        <v>6</v>
      </c>
      <c r="CA6" s="62">
        <f t="shared" si="1"/>
        <v>7</v>
      </c>
    </row>
    <row r="7" spans="1:79" ht="15.75" thickBot="1">
      <c r="A7" s="39"/>
      <c r="B7" s="40" t="s">
        <v>0</v>
      </c>
      <c r="C7" s="40" t="s">
        <v>0</v>
      </c>
      <c r="D7" s="33" t="s">
        <v>0</v>
      </c>
      <c r="E7" s="33" t="s">
        <v>0</v>
      </c>
      <c r="F7" s="33" t="s">
        <v>0</v>
      </c>
      <c r="G7" s="33" t="s">
        <v>0</v>
      </c>
      <c r="H7" s="33" t="s">
        <v>0</v>
      </c>
      <c r="I7" s="33" t="s">
        <v>0</v>
      </c>
      <c r="J7" s="41" t="s">
        <v>0</v>
      </c>
      <c r="K7" s="31" t="s">
        <v>12</v>
      </c>
      <c r="L7" s="186" t="s">
        <v>13</v>
      </c>
      <c r="M7" s="186" t="s">
        <v>0</v>
      </c>
      <c r="N7" s="186" t="s">
        <v>0</v>
      </c>
      <c r="O7" s="187" t="s">
        <v>0</v>
      </c>
      <c r="P7" s="103"/>
      <c r="Q7" s="102"/>
      <c r="R7" s="102"/>
      <c r="S7" s="102"/>
      <c r="T7" s="34"/>
      <c r="V7" s="48"/>
      <c r="W7" s="44"/>
      <c r="X7" s="44"/>
      <c r="Y7" s="44"/>
      <c r="Z7" s="44"/>
      <c r="AA7" s="45"/>
      <c r="AB7" s="48"/>
      <c r="AC7" s="44"/>
      <c r="AD7" s="44"/>
      <c r="AE7" s="44"/>
      <c r="AF7" s="44"/>
      <c r="AG7" s="45"/>
      <c r="AH7" s="48"/>
      <c r="AI7" s="44"/>
      <c r="AJ7" s="44"/>
      <c r="AK7" s="44"/>
      <c r="AL7" s="44"/>
      <c r="AM7" s="45"/>
      <c r="AN7" s="48"/>
      <c r="AO7" s="44"/>
      <c r="AP7" s="44"/>
      <c r="AQ7" s="44"/>
      <c r="AR7" s="44"/>
      <c r="AS7" s="45"/>
      <c r="AT7" s="48"/>
      <c r="AU7" s="44"/>
      <c r="AV7" s="44"/>
      <c r="AW7" s="44"/>
      <c r="AX7" s="44"/>
      <c r="AY7" s="45"/>
      <c r="AZ7" s="48"/>
      <c r="BA7" s="44"/>
      <c r="BB7" s="44"/>
      <c r="BC7" s="44"/>
      <c r="BD7" s="44"/>
      <c r="BE7" s="45"/>
      <c r="BF7" s="48"/>
      <c r="BG7" s="44"/>
      <c r="BH7" s="44"/>
      <c r="BI7" s="44"/>
      <c r="BJ7" s="44"/>
      <c r="BK7" s="45"/>
      <c r="BM7" s="63"/>
      <c r="BN7" s="64"/>
      <c r="BO7" s="64"/>
      <c r="BP7" s="64"/>
      <c r="BQ7" s="64"/>
      <c r="BR7" s="64"/>
      <c r="BS7" s="65"/>
      <c r="BU7" s="63"/>
      <c r="BV7" s="64"/>
      <c r="BW7" s="64"/>
      <c r="BX7" s="64"/>
      <c r="BY7" s="64"/>
      <c r="BZ7" s="64"/>
      <c r="CA7" s="65"/>
    </row>
    <row r="8" spans="1:79" ht="22.9" customHeight="1" thickBot="1">
      <c r="A8" s="42"/>
      <c r="B8" s="43"/>
      <c r="C8" s="43"/>
      <c r="D8" s="44"/>
      <c r="E8" s="44"/>
      <c r="F8" s="44"/>
      <c r="G8" s="44"/>
      <c r="H8" s="44"/>
      <c r="I8" s="44"/>
      <c r="J8" s="45"/>
      <c r="K8" s="19" t="s">
        <v>335</v>
      </c>
      <c r="L8" s="20"/>
      <c r="M8" s="21"/>
      <c r="N8" s="22"/>
      <c r="O8" s="23"/>
      <c r="P8" s="104" t="s">
        <v>336</v>
      </c>
      <c r="Q8" s="105"/>
      <c r="R8" s="106"/>
      <c r="S8" s="106"/>
      <c r="T8" s="90"/>
      <c r="U8" s="46"/>
      <c r="V8" s="49" t="s">
        <v>349</v>
      </c>
      <c r="W8" s="188">
        <f>Q1-1+7</f>
        <v>45844</v>
      </c>
      <c r="X8" s="188"/>
      <c r="Y8" s="188"/>
      <c r="Z8" s="188"/>
      <c r="AA8" s="189"/>
      <c r="AB8" s="50" t="s">
        <v>349</v>
      </c>
      <c r="AC8" s="190">
        <f>W8+7</f>
        <v>45851</v>
      </c>
      <c r="AD8" s="190"/>
      <c r="AE8" s="190"/>
      <c r="AF8" s="190"/>
      <c r="AG8" s="191"/>
      <c r="AH8" s="51" t="s">
        <v>349</v>
      </c>
      <c r="AI8" s="192">
        <f>AC8+7</f>
        <v>45858</v>
      </c>
      <c r="AJ8" s="192"/>
      <c r="AK8" s="192"/>
      <c r="AL8" s="192"/>
      <c r="AM8" s="193"/>
      <c r="AN8" s="52" t="s">
        <v>349</v>
      </c>
      <c r="AO8" s="180">
        <f>AI8+7</f>
        <v>45865</v>
      </c>
      <c r="AP8" s="180"/>
      <c r="AQ8" s="180"/>
      <c r="AR8" s="180"/>
      <c r="AS8" s="181"/>
      <c r="AT8" s="53" t="s">
        <v>349</v>
      </c>
      <c r="AU8" s="182">
        <f>AO8+7</f>
        <v>45872</v>
      </c>
      <c r="AV8" s="182"/>
      <c r="AW8" s="182"/>
      <c r="AX8" s="182"/>
      <c r="AY8" s="183"/>
      <c r="AZ8" s="54" t="s">
        <v>349</v>
      </c>
      <c r="BA8" s="184">
        <f>AU8+7</f>
        <v>45879</v>
      </c>
      <c r="BB8" s="184"/>
      <c r="BC8" s="184"/>
      <c r="BD8" s="184"/>
      <c r="BE8" s="185"/>
      <c r="BF8" s="49" t="s">
        <v>349</v>
      </c>
      <c r="BG8" s="188">
        <f>BA8+7</f>
        <v>45886</v>
      </c>
      <c r="BH8" s="188"/>
      <c r="BI8" s="188"/>
      <c r="BJ8" s="188"/>
      <c r="BK8" s="189"/>
      <c r="BL8" s="46"/>
      <c r="BM8" s="66" t="s">
        <v>356</v>
      </c>
      <c r="BN8" s="67"/>
      <c r="BO8" s="67"/>
      <c r="BP8" s="67"/>
      <c r="BQ8" s="67"/>
      <c r="BR8" s="67"/>
      <c r="BS8" s="68"/>
      <c r="BT8" s="46"/>
      <c r="BU8" s="69" t="s">
        <v>357</v>
      </c>
      <c r="BV8" s="70"/>
      <c r="BW8" s="70"/>
      <c r="BX8" s="70"/>
      <c r="BY8" s="70"/>
      <c r="BZ8" s="70"/>
      <c r="CA8" s="71"/>
    </row>
    <row r="9" spans="1:79" ht="40.15" customHeight="1" thickBot="1">
      <c r="A9" s="26" t="s">
        <v>333</v>
      </c>
      <c r="B9" s="24" t="s">
        <v>14</v>
      </c>
      <c r="C9" s="24" t="s">
        <v>15</v>
      </c>
      <c r="D9" s="24" t="s">
        <v>16</v>
      </c>
      <c r="E9" s="24" t="s">
        <v>17</v>
      </c>
      <c r="F9" s="24" t="s">
        <v>18</v>
      </c>
      <c r="G9" s="24" t="s">
        <v>19</v>
      </c>
      <c r="H9" s="24" t="s">
        <v>20</v>
      </c>
      <c r="I9" s="24" t="s">
        <v>21</v>
      </c>
      <c r="J9" s="25" t="s">
        <v>22</v>
      </c>
      <c r="K9" s="24" t="s">
        <v>23</v>
      </c>
      <c r="L9" s="24" t="s">
        <v>24</v>
      </c>
      <c r="M9" s="24" t="s">
        <v>25</v>
      </c>
      <c r="N9" s="24" t="s">
        <v>26</v>
      </c>
      <c r="O9" s="25" t="s">
        <v>27</v>
      </c>
      <c r="P9" s="107" t="s">
        <v>337</v>
      </c>
      <c r="Q9" s="108" t="s">
        <v>338</v>
      </c>
      <c r="R9" s="108" t="s">
        <v>339</v>
      </c>
      <c r="S9" s="108" t="s">
        <v>340</v>
      </c>
      <c r="T9" s="91" t="s">
        <v>341</v>
      </c>
      <c r="U9" s="47"/>
      <c r="V9" s="55" t="s">
        <v>350</v>
      </c>
      <c r="W9" s="56" t="s">
        <v>351</v>
      </c>
      <c r="X9" s="56" t="s">
        <v>352</v>
      </c>
      <c r="Y9" s="56" t="s">
        <v>353</v>
      </c>
      <c r="Z9" s="56" t="s">
        <v>354</v>
      </c>
      <c r="AA9" s="57" t="s">
        <v>355</v>
      </c>
      <c r="AB9" s="55" t="s">
        <v>350</v>
      </c>
      <c r="AC9" s="56" t="s">
        <v>351</v>
      </c>
      <c r="AD9" s="56" t="s">
        <v>352</v>
      </c>
      <c r="AE9" s="56" t="s">
        <v>353</v>
      </c>
      <c r="AF9" s="56" t="s">
        <v>354</v>
      </c>
      <c r="AG9" s="57" t="s">
        <v>355</v>
      </c>
      <c r="AH9" s="55" t="s">
        <v>350</v>
      </c>
      <c r="AI9" s="56" t="s">
        <v>351</v>
      </c>
      <c r="AJ9" s="56" t="s">
        <v>352</v>
      </c>
      <c r="AK9" s="56" t="s">
        <v>353</v>
      </c>
      <c r="AL9" s="56" t="s">
        <v>354</v>
      </c>
      <c r="AM9" s="57" t="s">
        <v>355</v>
      </c>
      <c r="AN9" s="55" t="s">
        <v>350</v>
      </c>
      <c r="AO9" s="56" t="s">
        <v>351</v>
      </c>
      <c r="AP9" s="56" t="s">
        <v>352</v>
      </c>
      <c r="AQ9" s="56" t="s">
        <v>353</v>
      </c>
      <c r="AR9" s="56" t="s">
        <v>354</v>
      </c>
      <c r="AS9" s="57" t="s">
        <v>355</v>
      </c>
      <c r="AT9" s="194" t="s">
        <v>350</v>
      </c>
      <c r="AU9" s="195" t="s">
        <v>351</v>
      </c>
      <c r="AV9" s="195" t="s">
        <v>352</v>
      </c>
      <c r="AW9" s="195" t="s">
        <v>353</v>
      </c>
      <c r="AX9" s="195" t="s">
        <v>354</v>
      </c>
      <c r="AY9" s="196" t="s">
        <v>355</v>
      </c>
      <c r="AZ9" s="55" t="s">
        <v>350</v>
      </c>
      <c r="BA9" s="56" t="s">
        <v>351</v>
      </c>
      <c r="BB9" s="56" t="s">
        <v>352</v>
      </c>
      <c r="BC9" s="56" t="s">
        <v>353</v>
      </c>
      <c r="BD9" s="56" t="s">
        <v>354</v>
      </c>
      <c r="BE9" s="57" t="s">
        <v>355</v>
      </c>
      <c r="BF9" s="55" t="s">
        <v>350</v>
      </c>
      <c r="BG9" s="56" t="s">
        <v>351</v>
      </c>
      <c r="BH9" s="56" t="s">
        <v>352</v>
      </c>
      <c r="BI9" s="56" t="s">
        <v>353</v>
      </c>
      <c r="BJ9" s="56" t="s">
        <v>354</v>
      </c>
      <c r="BK9" s="57" t="s">
        <v>355</v>
      </c>
      <c r="BL9" s="47"/>
      <c r="BM9" s="201">
        <f>W8</f>
        <v>45844</v>
      </c>
      <c r="BN9" s="202">
        <f>BM9+7</f>
        <v>45851</v>
      </c>
      <c r="BO9" s="202">
        <f t="shared" ref="BO9:BR9" si="2">BN9+7</f>
        <v>45858</v>
      </c>
      <c r="BP9" s="202">
        <f t="shared" si="2"/>
        <v>45865</v>
      </c>
      <c r="BQ9" s="202">
        <f t="shared" si="2"/>
        <v>45872</v>
      </c>
      <c r="BR9" s="202">
        <f t="shared" si="2"/>
        <v>45879</v>
      </c>
      <c r="BS9" s="202">
        <f t="shared" ref="BS9" si="3">BR9+7</f>
        <v>45886</v>
      </c>
      <c r="BT9" s="47"/>
      <c r="BU9" s="72">
        <f>W8</f>
        <v>45844</v>
      </c>
      <c r="BV9" s="73">
        <f>BU9+7</f>
        <v>45851</v>
      </c>
      <c r="BW9" s="73">
        <f t="shared" ref="BW9:CA9" si="4">BV9+7</f>
        <v>45858</v>
      </c>
      <c r="BX9" s="73">
        <f t="shared" si="4"/>
        <v>45865</v>
      </c>
      <c r="BY9" s="73">
        <f t="shared" si="4"/>
        <v>45872</v>
      </c>
      <c r="BZ9" s="73">
        <f t="shared" si="4"/>
        <v>45879</v>
      </c>
      <c r="CA9" s="73">
        <f t="shared" si="4"/>
        <v>45886</v>
      </c>
    </row>
    <row r="10" spans="1:79" ht="18.75">
      <c r="A10" s="130" t="str">
        <f>IF(C10=C9,"D",(IF(C10="WBS","W","P")))</f>
        <v>W</v>
      </c>
      <c r="B10" s="131">
        <f>IF(C10="WBS",B11,VALUE(IF(C10=0,0,IF(LEN(C10)=5,LEFT(C10,1)&amp;"0000",LEFT(C10,2)&amp;"0000"))))</f>
        <v>10000</v>
      </c>
      <c r="C10" s="132" t="s">
        <v>14</v>
      </c>
      <c r="D10" s="133" t="s">
        <v>0</v>
      </c>
      <c r="E10" s="133" t="s">
        <v>0</v>
      </c>
      <c r="F10" s="134" t="s">
        <v>28</v>
      </c>
      <c r="G10" s="133" t="s">
        <v>0</v>
      </c>
      <c r="H10" s="133" t="s">
        <v>0</v>
      </c>
      <c r="I10" s="133" t="s">
        <v>0</v>
      </c>
      <c r="J10" s="135" t="s">
        <v>0</v>
      </c>
      <c r="K10" s="2" t="s">
        <v>0</v>
      </c>
      <c r="L10" s="3" t="s">
        <v>0</v>
      </c>
      <c r="M10" s="4">
        <v>78</v>
      </c>
      <c r="N10" s="4">
        <v>10</v>
      </c>
      <c r="O10" s="5">
        <v>88</v>
      </c>
      <c r="P10" s="109"/>
      <c r="Q10" s="110"/>
      <c r="R10" s="110">
        <f>SUMIFS(R11:R$415,$A11:$A$415,"P",$B11:$B$415,$B10)</f>
        <v>88</v>
      </c>
      <c r="S10" s="110">
        <f>SUMIFS(S11:S$415,$A11:$A$415,"P",$B11:$B$415,$B10)</f>
        <v>0</v>
      </c>
      <c r="T10" s="119">
        <f>R10/O10</f>
        <v>1</v>
      </c>
      <c r="V10" s="81"/>
      <c r="W10" s="82"/>
      <c r="X10" s="82"/>
      <c r="Y10" s="82"/>
      <c r="Z10" s="82"/>
      <c r="AA10" s="83"/>
      <c r="AB10" s="81"/>
      <c r="AC10" s="82"/>
      <c r="AD10" s="82"/>
      <c r="AE10" s="82"/>
      <c r="AF10" s="82"/>
      <c r="AG10" s="83"/>
      <c r="AH10" s="81"/>
      <c r="AI10" s="82"/>
      <c r="AJ10" s="82"/>
      <c r="AK10" s="82"/>
      <c r="AL10" s="82"/>
      <c r="AM10" s="83"/>
      <c r="AN10" s="81"/>
      <c r="AO10" s="82"/>
      <c r="AP10" s="82"/>
      <c r="AQ10" s="82"/>
      <c r="AR10" s="82"/>
      <c r="AS10" s="83"/>
      <c r="AT10" s="81"/>
      <c r="AU10" s="82"/>
      <c r="AV10" s="82"/>
      <c r="AW10" s="82"/>
      <c r="AX10" s="82"/>
      <c r="AY10" s="83"/>
      <c r="AZ10" s="81"/>
      <c r="BA10" s="82"/>
      <c r="BB10" s="82"/>
      <c r="BC10" s="82"/>
      <c r="BD10" s="82"/>
      <c r="BE10" s="83"/>
      <c r="BF10" s="81"/>
      <c r="BG10" s="82"/>
      <c r="BH10" s="82"/>
      <c r="BI10" s="82"/>
      <c r="BJ10" s="82"/>
      <c r="BK10" s="83"/>
      <c r="BM10" s="198"/>
      <c r="BN10" s="199"/>
      <c r="BO10" s="199"/>
      <c r="BP10" s="199"/>
      <c r="BQ10" s="199"/>
      <c r="BR10" s="199"/>
      <c r="BS10" s="200"/>
      <c r="BT10" s="74"/>
      <c r="BU10" s="120"/>
      <c r="BV10" s="121"/>
      <c r="BW10" s="121"/>
      <c r="BX10" s="121"/>
      <c r="BY10" s="121"/>
      <c r="BZ10" s="121"/>
      <c r="CA10" s="121"/>
    </row>
    <row r="11" spans="1:79" ht="15.75">
      <c r="A11" s="136" t="str">
        <f t="shared" ref="A11:A74" si="5">IF(C11=C10,"D",(IF(C11="WBS","W","P")))</f>
        <v>P</v>
      </c>
      <c r="B11" s="137">
        <f t="shared" ref="B11:B74" si="6">IF(C11="WBS",B12,VALUE(IF(C11=0,0,IF(LEN(C11)=5,LEFT(C11,1)&amp;"0000",LEFT(C11,2)&amp;"0000"))))</f>
        <v>10000</v>
      </c>
      <c r="C11" s="138" t="s">
        <v>29</v>
      </c>
      <c r="D11" s="139" t="s">
        <v>0</v>
      </c>
      <c r="E11" s="139" t="s">
        <v>0</v>
      </c>
      <c r="F11" s="140" t="s">
        <v>30</v>
      </c>
      <c r="G11" s="139" t="s">
        <v>0</v>
      </c>
      <c r="H11" s="139" t="s">
        <v>0</v>
      </c>
      <c r="I11" s="139" t="s">
        <v>0</v>
      </c>
      <c r="J11" s="141" t="s">
        <v>0</v>
      </c>
      <c r="K11" s="7" t="s">
        <v>0</v>
      </c>
      <c r="L11" s="8" t="s">
        <v>0</v>
      </c>
      <c r="M11" s="9">
        <v>13</v>
      </c>
      <c r="N11" s="9">
        <v>0</v>
      </c>
      <c r="O11" s="10">
        <v>13</v>
      </c>
      <c r="P11" s="111"/>
      <c r="Q11" s="112"/>
      <c r="R11" s="112">
        <f>SUMIFS(R12:R$415,$C12:$C$415,$C11)</f>
        <v>13</v>
      </c>
      <c r="S11" s="112">
        <f>SUMIFS(S12:S$415,$C12:$C$415,$C11)</f>
        <v>0</v>
      </c>
      <c r="T11" s="92">
        <f>R11/O11</f>
        <v>1</v>
      </c>
      <c r="V11" s="77"/>
      <c r="W11" s="75"/>
      <c r="X11" s="75"/>
      <c r="Y11" s="75"/>
      <c r="Z11" s="75"/>
      <c r="AA11" s="78"/>
      <c r="AB11" s="77"/>
      <c r="AC11" s="75"/>
      <c r="AD11" s="75"/>
      <c r="AE11" s="75"/>
      <c r="AF11" s="75"/>
      <c r="AG11" s="78"/>
      <c r="AH11" s="77"/>
      <c r="AI11" s="75"/>
      <c r="AJ11" s="75"/>
      <c r="AK11" s="75"/>
      <c r="AL11" s="75"/>
      <c r="AM11" s="78"/>
      <c r="AN11" s="77"/>
      <c r="AO11" s="75"/>
      <c r="AP11" s="75"/>
      <c r="AQ11" s="75"/>
      <c r="AR11" s="75"/>
      <c r="AS11" s="78"/>
      <c r="AT11" s="77"/>
      <c r="AU11" s="75"/>
      <c r="AV11" s="75"/>
      <c r="AW11" s="75"/>
      <c r="AX11" s="75"/>
      <c r="AY11" s="78"/>
      <c r="AZ11" s="77"/>
      <c r="BA11" s="75"/>
      <c r="BB11" s="75"/>
      <c r="BC11" s="75"/>
      <c r="BD11" s="75"/>
      <c r="BE11" s="78"/>
      <c r="BF11" s="77"/>
      <c r="BG11" s="75"/>
      <c r="BH11" s="75"/>
      <c r="BI11" s="75"/>
      <c r="BJ11" s="75"/>
      <c r="BK11" s="78"/>
      <c r="BM11" s="122"/>
      <c r="BN11" s="123"/>
      <c r="BO11" s="123"/>
      <c r="BP11" s="123"/>
      <c r="BQ11" s="123"/>
      <c r="BR11" s="123"/>
      <c r="BS11" s="124"/>
      <c r="BT11" s="74"/>
      <c r="BU11" s="122"/>
      <c r="BV11" s="123"/>
      <c r="BW11" s="123"/>
      <c r="BX11" s="123"/>
      <c r="BY11" s="123"/>
      <c r="BZ11" s="123"/>
      <c r="CA11" s="123"/>
    </row>
    <row r="12" spans="1:79">
      <c r="A12" s="142" t="str">
        <f t="shared" si="5"/>
        <v>D</v>
      </c>
      <c r="B12" s="143">
        <f t="shared" si="6"/>
        <v>10000</v>
      </c>
      <c r="C12" s="143" t="s">
        <v>29</v>
      </c>
      <c r="D12" s="144" t="s">
        <v>0</v>
      </c>
      <c r="E12" s="144" t="s">
        <v>0</v>
      </c>
      <c r="F12" s="145" t="s">
        <v>31</v>
      </c>
      <c r="G12" s="144" t="s">
        <v>0</v>
      </c>
      <c r="H12" s="144" t="s">
        <v>0</v>
      </c>
      <c r="I12" s="144" t="s">
        <v>0</v>
      </c>
      <c r="J12" s="146" t="s">
        <v>0</v>
      </c>
      <c r="K12" s="13">
        <v>1</v>
      </c>
      <c r="L12" s="12" t="s">
        <v>32</v>
      </c>
      <c r="M12" s="13">
        <v>5</v>
      </c>
      <c r="N12" s="13">
        <v>0</v>
      </c>
      <c r="O12" s="14">
        <v>5</v>
      </c>
      <c r="P12" s="113">
        <f>SUM(BM12:BS12)</f>
        <v>1</v>
      </c>
      <c r="Q12" s="114">
        <f>K12-P12</f>
        <v>0</v>
      </c>
      <c r="R12" s="114">
        <f>SUM(BU12:CA12)</f>
        <v>5</v>
      </c>
      <c r="S12" s="114">
        <f>O12-R12</f>
        <v>0</v>
      </c>
      <c r="T12" s="93">
        <f>R12/O12</f>
        <v>1</v>
      </c>
      <c r="U12" t="s">
        <v>0</v>
      </c>
      <c r="V12" s="79">
        <v>1</v>
      </c>
      <c r="W12" s="76"/>
      <c r="X12" s="76"/>
      <c r="Y12" s="76"/>
      <c r="Z12" s="76"/>
      <c r="AA12" s="80"/>
      <c r="AB12" s="79"/>
      <c r="AC12" s="76"/>
      <c r="AD12" s="76"/>
      <c r="AE12" s="76"/>
      <c r="AF12" s="76"/>
      <c r="AG12" s="80"/>
      <c r="AH12" s="79"/>
      <c r="AI12" s="76"/>
      <c r="AJ12" s="76"/>
      <c r="AK12" s="76"/>
      <c r="AL12" s="76"/>
      <c r="AM12" s="80"/>
      <c r="AN12" s="79"/>
      <c r="AO12" s="76"/>
      <c r="AP12" s="76"/>
      <c r="AQ12" s="76"/>
      <c r="AR12" s="76"/>
      <c r="AS12" s="80"/>
      <c r="AT12" s="79"/>
      <c r="AU12" s="76"/>
      <c r="AV12" s="76"/>
      <c r="AW12" s="76"/>
      <c r="AX12" s="76"/>
      <c r="AY12" s="80"/>
      <c r="AZ12" s="79"/>
      <c r="BA12" s="76"/>
      <c r="BB12" s="76"/>
      <c r="BC12" s="76"/>
      <c r="BD12" s="76"/>
      <c r="BE12" s="80"/>
      <c r="BF12" s="79"/>
      <c r="BG12" s="76"/>
      <c r="BH12" s="76"/>
      <c r="BI12" s="76"/>
      <c r="BJ12" s="76"/>
      <c r="BK12" s="80"/>
      <c r="BM12" s="125">
        <f>SUM(V12:AA12)</f>
        <v>1</v>
      </c>
      <c r="BN12" s="126">
        <f>SUM(AB12:AG12)</f>
        <v>0</v>
      </c>
      <c r="BO12" s="126">
        <f>SUM(AH12:AM12)</f>
        <v>0</v>
      </c>
      <c r="BP12" s="126">
        <f>SUM(AN12:AS12)</f>
        <v>0</v>
      </c>
      <c r="BQ12" s="126">
        <f>SUM(AT12:AY12)</f>
        <v>0</v>
      </c>
      <c r="BR12" s="126">
        <f>SUM(AZ12:BE12)</f>
        <v>0</v>
      </c>
      <c r="BS12" s="127">
        <f>SUM(BF12:BK12)</f>
        <v>0</v>
      </c>
      <c r="BT12" s="74"/>
      <c r="BU12" s="125">
        <f>(BM12/$K12)*$O12</f>
        <v>5</v>
      </c>
      <c r="BV12" s="126">
        <f>(BN12/$K12)*$O12</f>
        <v>0</v>
      </c>
      <c r="BW12" s="126">
        <f>(BO12/$K12)*$O12</f>
        <v>0</v>
      </c>
      <c r="BX12" s="126">
        <f>(BP12/$K12)*$O12</f>
        <v>0</v>
      </c>
      <c r="BY12" s="126">
        <f>(BQ12/$K12)*$O12</f>
        <v>0</v>
      </c>
      <c r="BZ12" s="126">
        <f>(BR12/$K12)*$O12</f>
        <v>0</v>
      </c>
      <c r="CA12" s="126">
        <f>(BS12/$K12)*$O12</f>
        <v>0</v>
      </c>
    </row>
    <row r="13" spans="1:79">
      <c r="A13" s="147" t="str">
        <f t="shared" si="5"/>
        <v>D</v>
      </c>
      <c r="B13" s="148">
        <f t="shared" si="6"/>
        <v>10000</v>
      </c>
      <c r="C13" s="149" t="s">
        <v>29</v>
      </c>
      <c r="D13" s="150" t="s">
        <v>0</v>
      </c>
      <c r="E13" s="150" t="s">
        <v>0</v>
      </c>
      <c r="F13" s="145" t="s">
        <v>33</v>
      </c>
      <c r="G13" s="150" t="s">
        <v>0</v>
      </c>
      <c r="H13" s="150" t="s">
        <v>0</v>
      </c>
      <c r="I13" s="150" t="s">
        <v>0</v>
      </c>
      <c r="J13" s="151" t="s">
        <v>0</v>
      </c>
      <c r="K13" s="13">
        <v>4</v>
      </c>
      <c r="L13" s="12" t="s">
        <v>32</v>
      </c>
      <c r="M13" s="13">
        <v>8</v>
      </c>
      <c r="N13" s="13">
        <v>0</v>
      </c>
      <c r="O13" s="14">
        <v>8</v>
      </c>
      <c r="P13" s="113">
        <f t="shared" ref="P13" si="7">SUM(BM13:BS13)</f>
        <v>4</v>
      </c>
      <c r="Q13" s="114">
        <f t="shared" ref="Q13" si="8">K13-P13</f>
        <v>0</v>
      </c>
      <c r="R13" s="114">
        <f t="shared" ref="R13" si="9">SUM(BU13:CA13)</f>
        <v>8</v>
      </c>
      <c r="S13" s="114">
        <f t="shared" ref="S13" si="10">O13-R13</f>
        <v>0</v>
      </c>
      <c r="T13" s="93">
        <f t="shared" ref="T13" si="11">R13/O13</f>
        <v>1</v>
      </c>
      <c r="U13" t="s">
        <v>0</v>
      </c>
      <c r="V13" s="79">
        <v>1</v>
      </c>
      <c r="W13" s="76">
        <v>1</v>
      </c>
      <c r="X13" s="76">
        <v>1</v>
      </c>
      <c r="Y13" s="76"/>
      <c r="Z13" s="76"/>
      <c r="AA13" s="80"/>
      <c r="AB13" s="79">
        <v>1</v>
      </c>
      <c r="AC13" s="76"/>
      <c r="AD13" s="76"/>
      <c r="AE13" s="76"/>
      <c r="AF13" s="76"/>
      <c r="AG13" s="80"/>
      <c r="AH13" s="79"/>
      <c r="AI13" s="76"/>
      <c r="AJ13" s="76"/>
      <c r="AK13" s="76"/>
      <c r="AL13" s="76"/>
      <c r="AM13" s="80"/>
      <c r="AN13" s="79"/>
      <c r="AO13" s="76"/>
      <c r="AP13" s="76"/>
      <c r="AQ13" s="76"/>
      <c r="AR13" s="76"/>
      <c r="AS13" s="80"/>
      <c r="AT13" s="79"/>
      <c r="AU13" s="76"/>
      <c r="AV13" s="76"/>
      <c r="AW13" s="76"/>
      <c r="AX13" s="76"/>
      <c r="AY13" s="80"/>
      <c r="AZ13" s="79"/>
      <c r="BA13" s="76"/>
      <c r="BB13" s="76"/>
      <c r="BC13" s="76"/>
      <c r="BD13" s="76"/>
      <c r="BE13" s="80"/>
      <c r="BF13" s="79"/>
      <c r="BG13" s="76"/>
      <c r="BH13" s="76"/>
      <c r="BI13" s="76"/>
      <c r="BJ13" s="76"/>
      <c r="BK13" s="80"/>
      <c r="BM13" s="125">
        <f>SUM(V13:AA13)</f>
        <v>3</v>
      </c>
      <c r="BN13" s="126">
        <f>SUM(AB13:AG13)</f>
        <v>1</v>
      </c>
      <c r="BO13" s="126">
        <f>SUM(AH13:AM13)</f>
        <v>0</v>
      </c>
      <c r="BP13" s="126">
        <f>SUM(AN13:AS13)</f>
        <v>0</v>
      </c>
      <c r="BQ13" s="126">
        <f>SUM(AT13:AY13)</f>
        <v>0</v>
      </c>
      <c r="BR13" s="126">
        <f>SUM(AZ13:BE13)</f>
        <v>0</v>
      </c>
      <c r="BS13" s="127">
        <f>SUM(BF13:BK13)</f>
        <v>0</v>
      </c>
      <c r="BT13" s="74"/>
      <c r="BU13" s="125">
        <f t="shared" ref="BU13" si="12">(BM13/$K13)*$O13</f>
        <v>6</v>
      </c>
      <c r="BV13" s="126">
        <f t="shared" ref="BV13" si="13">(BN13/$K13)*$O13</f>
        <v>2</v>
      </c>
      <c r="BW13" s="126">
        <f t="shared" ref="BW13" si="14">(BO13/$K13)*$O13</f>
        <v>0</v>
      </c>
      <c r="BX13" s="126">
        <f t="shared" ref="BX13" si="15">(BP13/$K13)*$O13</f>
        <v>0</v>
      </c>
      <c r="BY13" s="126">
        <f t="shared" ref="BY13:CA13" si="16">(BQ13/$K13)*$O13</f>
        <v>0</v>
      </c>
      <c r="BZ13" s="126">
        <f t="shared" si="16"/>
        <v>0</v>
      </c>
      <c r="CA13" s="126">
        <f t="shared" si="16"/>
        <v>0</v>
      </c>
    </row>
    <row r="14" spans="1:79" ht="15.75">
      <c r="A14" s="152" t="str">
        <f t="shared" si="5"/>
        <v>P</v>
      </c>
      <c r="B14" s="153">
        <f t="shared" si="6"/>
        <v>10000</v>
      </c>
      <c r="C14" s="154" t="s">
        <v>34</v>
      </c>
      <c r="D14" s="155" t="s">
        <v>0</v>
      </c>
      <c r="E14" s="155" t="s">
        <v>0</v>
      </c>
      <c r="F14" s="156" t="s">
        <v>35</v>
      </c>
      <c r="G14" s="155" t="s">
        <v>0</v>
      </c>
      <c r="H14" s="155" t="s">
        <v>0</v>
      </c>
      <c r="I14" s="155" t="s">
        <v>0</v>
      </c>
      <c r="J14" s="157" t="s">
        <v>0</v>
      </c>
      <c r="K14" s="11" t="s">
        <v>0</v>
      </c>
      <c r="L14" s="8" t="s">
        <v>0</v>
      </c>
      <c r="M14" s="9">
        <v>10</v>
      </c>
      <c r="N14" s="9">
        <v>0</v>
      </c>
      <c r="O14" s="10">
        <v>10</v>
      </c>
      <c r="P14" s="111"/>
      <c r="Q14" s="112"/>
      <c r="R14" s="112">
        <f>SUMIFS(R15:R$415,$C15:$C$415,$C14)</f>
        <v>10</v>
      </c>
      <c r="S14" s="112">
        <f>SUMIFS(S15:S$415,$C15:$C$415,$C14)</f>
        <v>0</v>
      </c>
      <c r="T14" s="92">
        <f>R14/O14</f>
        <v>1</v>
      </c>
      <c r="V14" s="77"/>
      <c r="W14" s="75"/>
      <c r="X14" s="75"/>
      <c r="Y14" s="75"/>
      <c r="Z14" s="75"/>
      <c r="AA14" s="78"/>
      <c r="AB14" s="77"/>
      <c r="AC14" s="75"/>
      <c r="AD14" s="75"/>
      <c r="AE14" s="75"/>
      <c r="AF14" s="75"/>
      <c r="AG14" s="78"/>
      <c r="AH14" s="77"/>
      <c r="AI14" s="75"/>
      <c r="AJ14" s="75"/>
      <c r="AK14" s="75"/>
      <c r="AL14" s="75"/>
      <c r="AM14" s="78"/>
      <c r="AN14" s="77"/>
      <c r="AO14" s="75"/>
      <c r="AP14" s="75"/>
      <c r="AQ14" s="75"/>
      <c r="AR14" s="75"/>
      <c r="AS14" s="78"/>
      <c r="AT14" s="77"/>
      <c r="AU14" s="75"/>
      <c r="AV14" s="75"/>
      <c r="AW14" s="75"/>
      <c r="AX14" s="75"/>
      <c r="AY14" s="78"/>
      <c r="AZ14" s="77"/>
      <c r="BA14" s="75"/>
      <c r="BB14" s="75"/>
      <c r="BC14" s="75"/>
      <c r="BD14" s="75"/>
      <c r="BE14" s="78"/>
      <c r="BF14" s="77"/>
      <c r="BG14" s="75"/>
      <c r="BH14" s="75"/>
      <c r="BI14" s="75"/>
      <c r="BJ14" s="75"/>
      <c r="BK14" s="78"/>
      <c r="BM14" s="122"/>
      <c r="BN14" s="123"/>
      <c r="BO14" s="123"/>
      <c r="BP14" s="123"/>
      <c r="BQ14" s="123"/>
      <c r="BR14" s="123"/>
      <c r="BS14" s="124"/>
      <c r="BT14" s="74"/>
      <c r="BU14" s="122"/>
      <c r="BV14" s="123"/>
      <c r="BW14" s="123"/>
      <c r="BX14" s="123"/>
      <c r="BY14" s="123"/>
      <c r="BZ14" s="123"/>
      <c r="CA14" s="123"/>
    </row>
    <row r="15" spans="1:79">
      <c r="A15" s="147" t="str">
        <f t="shared" si="5"/>
        <v>D</v>
      </c>
      <c r="B15" s="148">
        <f t="shared" si="6"/>
        <v>10000</v>
      </c>
      <c r="C15" s="149" t="s">
        <v>34</v>
      </c>
      <c r="D15" s="150" t="s">
        <v>0</v>
      </c>
      <c r="E15" s="150" t="s">
        <v>0</v>
      </c>
      <c r="F15" s="145" t="s">
        <v>36</v>
      </c>
      <c r="G15" s="150" t="s">
        <v>0</v>
      </c>
      <c r="H15" s="150" t="s">
        <v>0</v>
      </c>
      <c r="I15" s="150" t="s">
        <v>0</v>
      </c>
      <c r="J15" s="151" t="s">
        <v>0</v>
      </c>
      <c r="K15" s="13">
        <v>1</v>
      </c>
      <c r="L15" s="12" t="s">
        <v>32</v>
      </c>
      <c r="M15" s="13">
        <v>10</v>
      </c>
      <c r="N15" s="13">
        <v>0</v>
      </c>
      <c r="O15" s="14">
        <v>10</v>
      </c>
      <c r="P15" s="113">
        <f>SUM(BM15:BS15)</f>
        <v>1</v>
      </c>
      <c r="Q15" s="114">
        <f>K15-P15</f>
        <v>0</v>
      </c>
      <c r="R15" s="114">
        <f>SUM(BU15:CA15)</f>
        <v>10</v>
      </c>
      <c r="S15" s="114">
        <f>O15-R15</f>
        <v>0</v>
      </c>
      <c r="T15" s="93">
        <f>R15/O15</f>
        <v>1</v>
      </c>
      <c r="U15" t="s">
        <v>0</v>
      </c>
      <c r="V15" s="79">
        <v>1</v>
      </c>
      <c r="W15" s="76"/>
      <c r="X15" s="76"/>
      <c r="Y15" s="76"/>
      <c r="Z15" s="76"/>
      <c r="AA15" s="80"/>
      <c r="AB15" s="79"/>
      <c r="AC15" s="76"/>
      <c r="AD15" s="76"/>
      <c r="AE15" s="76"/>
      <c r="AF15" s="76"/>
      <c r="AG15" s="80"/>
      <c r="AH15" s="79"/>
      <c r="AI15" s="76"/>
      <c r="AJ15" s="76"/>
      <c r="AK15" s="76"/>
      <c r="AL15" s="76"/>
      <c r="AM15" s="80"/>
      <c r="AN15" s="79"/>
      <c r="AO15" s="76"/>
      <c r="AP15" s="76"/>
      <c r="AQ15" s="76"/>
      <c r="AR15" s="76"/>
      <c r="AS15" s="80"/>
      <c r="AT15" s="79"/>
      <c r="AU15" s="76"/>
      <c r="AV15" s="76"/>
      <c r="AW15" s="76"/>
      <c r="AX15" s="76"/>
      <c r="AY15" s="80"/>
      <c r="AZ15" s="79"/>
      <c r="BA15" s="76"/>
      <c r="BB15" s="76"/>
      <c r="BC15" s="76"/>
      <c r="BD15" s="76"/>
      <c r="BE15" s="80"/>
      <c r="BF15" s="79"/>
      <c r="BG15" s="76"/>
      <c r="BH15" s="76"/>
      <c r="BI15" s="76"/>
      <c r="BJ15" s="76"/>
      <c r="BK15" s="80"/>
      <c r="BM15" s="125">
        <f>SUM(V15:AA15)</f>
        <v>1</v>
      </c>
      <c r="BN15" s="126">
        <f>SUM(AB15:AG15)</f>
        <v>0</v>
      </c>
      <c r="BO15" s="126">
        <f>SUM(AH15:AM15)</f>
        <v>0</v>
      </c>
      <c r="BP15" s="126">
        <f>SUM(AN15:AS15)</f>
        <v>0</v>
      </c>
      <c r="BQ15" s="126">
        <f>SUM(AT15:AY15)</f>
        <v>0</v>
      </c>
      <c r="BR15" s="126">
        <f>SUM(AZ15:BE15)</f>
        <v>0</v>
      </c>
      <c r="BS15" s="127">
        <f>SUM(BF15:BK15)</f>
        <v>0</v>
      </c>
      <c r="BT15" s="74"/>
      <c r="BU15" s="125">
        <f>(BM15/$K15)*$O15</f>
        <v>10</v>
      </c>
      <c r="BV15" s="126">
        <f t="shared" ref="BV15" si="17">(BN15/$K15)*$O15</f>
        <v>0</v>
      </c>
      <c r="BW15" s="126">
        <f t="shared" ref="BW15" si="18">(BO15/$K15)*$O15</f>
        <v>0</v>
      </c>
      <c r="BX15" s="126">
        <f t="shared" ref="BX15" si="19">(BP15/$K15)*$O15</f>
        <v>0</v>
      </c>
      <c r="BY15" s="126">
        <f t="shared" ref="BY15:CA15" si="20">(BQ15/$K15)*$O15</f>
        <v>0</v>
      </c>
      <c r="BZ15" s="126">
        <f t="shared" si="20"/>
        <v>0</v>
      </c>
      <c r="CA15" s="126">
        <f t="shared" si="20"/>
        <v>0</v>
      </c>
    </row>
    <row r="16" spans="1:79" ht="15.75">
      <c r="A16" s="152" t="str">
        <f t="shared" si="5"/>
        <v>P</v>
      </c>
      <c r="B16" s="153">
        <f t="shared" si="6"/>
        <v>10000</v>
      </c>
      <c r="C16" s="154" t="s">
        <v>37</v>
      </c>
      <c r="D16" s="155" t="s">
        <v>0</v>
      </c>
      <c r="E16" s="155" t="s">
        <v>0</v>
      </c>
      <c r="F16" s="156" t="s">
        <v>38</v>
      </c>
      <c r="G16" s="155" t="s">
        <v>0</v>
      </c>
      <c r="H16" s="155" t="s">
        <v>0</v>
      </c>
      <c r="I16" s="155" t="s">
        <v>0</v>
      </c>
      <c r="J16" s="157" t="s">
        <v>0</v>
      </c>
      <c r="K16" s="11" t="s">
        <v>0</v>
      </c>
      <c r="L16" s="8" t="s">
        <v>0</v>
      </c>
      <c r="M16" s="9">
        <v>55</v>
      </c>
      <c r="N16" s="9">
        <v>0</v>
      </c>
      <c r="O16" s="10">
        <v>55</v>
      </c>
      <c r="P16" s="111"/>
      <c r="Q16" s="112"/>
      <c r="R16" s="112">
        <f>SUMIFS(R17:R$415,$C17:$C$415,$C16)</f>
        <v>55</v>
      </c>
      <c r="S16" s="112">
        <f>SUMIFS(S17:S$415,$C17:$C$415,$C16)</f>
        <v>0</v>
      </c>
      <c r="T16" s="92">
        <f>R16/O16</f>
        <v>1</v>
      </c>
      <c r="V16" s="77"/>
      <c r="W16" s="75"/>
      <c r="X16" s="75"/>
      <c r="Y16" s="75"/>
      <c r="Z16" s="75"/>
      <c r="AA16" s="78"/>
      <c r="AB16" s="77"/>
      <c r="AC16" s="75"/>
      <c r="AD16" s="75"/>
      <c r="AE16" s="75"/>
      <c r="AF16" s="75"/>
      <c r="AG16" s="78"/>
      <c r="AH16" s="77"/>
      <c r="AI16" s="75"/>
      <c r="AJ16" s="75"/>
      <c r="AK16" s="75"/>
      <c r="AL16" s="75"/>
      <c r="AM16" s="78"/>
      <c r="AN16" s="77"/>
      <c r="AO16" s="75"/>
      <c r="AP16" s="75"/>
      <c r="AQ16" s="75"/>
      <c r="AR16" s="75"/>
      <c r="AS16" s="78"/>
      <c r="AT16" s="77"/>
      <c r="AU16" s="75"/>
      <c r="AV16" s="75"/>
      <c r="AW16" s="75"/>
      <c r="AX16" s="75"/>
      <c r="AY16" s="78"/>
      <c r="AZ16" s="77"/>
      <c r="BA16" s="75"/>
      <c r="BB16" s="75"/>
      <c r="BC16" s="75"/>
      <c r="BD16" s="75"/>
      <c r="BE16" s="78"/>
      <c r="BF16" s="77"/>
      <c r="BG16" s="75"/>
      <c r="BH16" s="75"/>
      <c r="BI16" s="75"/>
      <c r="BJ16" s="75"/>
      <c r="BK16" s="78"/>
      <c r="BM16" s="122"/>
      <c r="BN16" s="123"/>
      <c r="BO16" s="123"/>
      <c r="BP16" s="123"/>
      <c r="BQ16" s="123"/>
      <c r="BR16" s="123"/>
      <c r="BS16" s="124"/>
      <c r="BT16" s="74"/>
      <c r="BU16" s="122"/>
      <c r="BV16" s="123"/>
      <c r="BW16" s="123"/>
      <c r="BX16" s="123"/>
      <c r="BY16" s="123"/>
      <c r="BZ16" s="123"/>
      <c r="CA16" s="123"/>
    </row>
    <row r="17" spans="1:79">
      <c r="A17" s="147" t="str">
        <f t="shared" si="5"/>
        <v>D</v>
      </c>
      <c r="B17" s="148">
        <f t="shared" si="6"/>
        <v>10000</v>
      </c>
      <c r="C17" s="149" t="s">
        <v>37</v>
      </c>
      <c r="D17" s="150" t="s">
        <v>0</v>
      </c>
      <c r="E17" s="150" t="s">
        <v>0</v>
      </c>
      <c r="F17" s="145" t="s">
        <v>39</v>
      </c>
      <c r="G17" s="150" t="s">
        <v>0</v>
      </c>
      <c r="H17" s="150" t="s">
        <v>0</v>
      </c>
      <c r="I17" s="150" t="s">
        <v>0</v>
      </c>
      <c r="J17" s="151" t="s">
        <v>0</v>
      </c>
      <c r="K17" s="13">
        <v>11</v>
      </c>
      <c r="L17" s="12" t="s">
        <v>25</v>
      </c>
      <c r="M17" s="13">
        <v>44</v>
      </c>
      <c r="N17" s="13">
        <v>0</v>
      </c>
      <c r="O17" s="14">
        <v>44</v>
      </c>
      <c r="P17" s="113">
        <f t="shared" ref="P17:P18" si="21">SUM(BM17:BS17)</f>
        <v>11</v>
      </c>
      <c r="Q17" s="114">
        <f t="shared" ref="Q17:Q18" si="22">K17-P17</f>
        <v>0</v>
      </c>
      <c r="R17" s="114">
        <f t="shared" ref="R17:R18" si="23">SUM(BU17:CA17)</f>
        <v>44</v>
      </c>
      <c r="S17" s="114">
        <f t="shared" ref="S17:S18" si="24">O17-R17</f>
        <v>0</v>
      </c>
      <c r="T17" s="93">
        <f t="shared" ref="T17:T18" si="25">R17/O17</f>
        <v>1</v>
      </c>
      <c r="U17" t="s">
        <v>0</v>
      </c>
      <c r="V17" s="79">
        <v>4</v>
      </c>
      <c r="W17" s="76"/>
      <c r="X17" s="76"/>
      <c r="Y17" s="76"/>
      <c r="Z17" s="76"/>
      <c r="AA17" s="80"/>
      <c r="AB17" s="79">
        <v>3</v>
      </c>
      <c r="AC17" s="76">
        <v>4</v>
      </c>
      <c r="AD17" s="76"/>
      <c r="AE17" s="76"/>
      <c r="AF17" s="76"/>
      <c r="AG17" s="80"/>
      <c r="AH17" s="79"/>
      <c r="AI17" s="76"/>
      <c r="AJ17" s="76"/>
      <c r="AK17" s="76"/>
      <c r="AL17" s="76"/>
      <c r="AM17" s="80"/>
      <c r="AN17" s="79"/>
      <c r="AO17" s="76"/>
      <c r="AP17" s="76"/>
      <c r="AQ17" s="76"/>
      <c r="AR17" s="76"/>
      <c r="AS17" s="80"/>
      <c r="AT17" s="79"/>
      <c r="AU17" s="76"/>
      <c r="AV17" s="76"/>
      <c r="AW17" s="76"/>
      <c r="AX17" s="76"/>
      <c r="AY17" s="80"/>
      <c r="AZ17" s="79"/>
      <c r="BA17" s="76"/>
      <c r="BB17" s="76"/>
      <c r="BC17" s="76"/>
      <c r="BD17" s="76"/>
      <c r="BE17" s="80"/>
      <c r="BF17" s="79"/>
      <c r="BG17" s="76"/>
      <c r="BH17" s="76"/>
      <c r="BI17" s="76"/>
      <c r="BJ17" s="76"/>
      <c r="BK17" s="80"/>
      <c r="BM17" s="125">
        <f t="shared" ref="BM17:BM18" si="26">SUM(V17:AA17)</f>
        <v>4</v>
      </c>
      <c r="BN17" s="126">
        <f t="shared" ref="BN17:BN18" si="27">SUM(AB17:AG17)</f>
        <v>7</v>
      </c>
      <c r="BO17" s="126">
        <f t="shared" ref="BO17:BO18" si="28">SUM(AH17:AM17)</f>
        <v>0</v>
      </c>
      <c r="BP17" s="126">
        <f t="shared" ref="BP17:BP18" si="29">SUM(AN17:AS17)</f>
        <v>0</v>
      </c>
      <c r="BQ17" s="126">
        <f>SUM(AT17:AY17)</f>
        <v>0</v>
      </c>
      <c r="BR17" s="126">
        <f t="shared" ref="BR17:BS18" si="30">SUM(AZ17:BE17)</f>
        <v>0</v>
      </c>
      <c r="BS17" s="127">
        <f t="shared" ref="BS17:BS18" si="31">SUM(BF17:BK17)</f>
        <v>0</v>
      </c>
      <c r="BT17" s="74"/>
      <c r="BU17" s="125">
        <f t="shared" ref="BU17:BU18" si="32">(BM17/$K17)*$O17</f>
        <v>16</v>
      </c>
      <c r="BV17" s="126">
        <f t="shared" ref="BV17:BV18" si="33">(BN17/$K17)*$O17</f>
        <v>28</v>
      </c>
      <c r="BW17" s="126">
        <f t="shared" ref="BW17:BW18" si="34">(BO17/$K17)*$O17</f>
        <v>0</v>
      </c>
      <c r="BX17" s="126">
        <f t="shared" ref="BX17:BX18" si="35">(BP17/$K17)*$O17</f>
        <v>0</v>
      </c>
      <c r="BY17" s="126">
        <f t="shared" ref="BY17:CA18" si="36">(BQ17/$K17)*$O17</f>
        <v>0</v>
      </c>
      <c r="BZ17" s="126">
        <f t="shared" si="36"/>
        <v>0</v>
      </c>
      <c r="CA17" s="126">
        <f t="shared" si="36"/>
        <v>0</v>
      </c>
    </row>
    <row r="18" spans="1:79">
      <c r="A18" s="147" t="str">
        <f t="shared" si="5"/>
        <v>D</v>
      </c>
      <c r="B18" s="148">
        <f t="shared" si="6"/>
        <v>10000</v>
      </c>
      <c r="C18" s="149" t="s">
        <v>37</v>
      </c>
      <c r="D18" s="150" t="s">
        <v>0</v>
      </c>
      <c r="E18" s="150" t="s">
        <v>0</v>
      </c>
      <c r="F18" s="145" t="s">
        <v>40</v>
      </c>
      <c r="G18" s="150" t="s">
        <v>0</v>
      </c>
      <c r="H18" s="150" t="s">
        <v>0</v>
      </c>
      <c r="I18" s="150" t="s">
        <v>0</v>
      </c>
      <c r="J18" s="151" t="s">
        <v>0</v>
      </c>
      <c r="K18" s="13">
        <v>11</v>
      </c>
      <c r="L18" s="12" t="s">
        <v>25</v>
      </c>
      <c r="M18" s="13">
        <v>11</v>
      </c>
      <c r="N18" s="13">
        <v>0</v>
      </c>
      <c r="O18" s="14">
        <v>11</v>
      </c>
      <c r="P18" s="113">
        <f t="shared" si="21"/>
        <v>11</v>
      </c>
      <c r="Q18" s="114">
        <f t="shared" si="22"/>
        <v>0</v>
      </c>
      <c r="R18" s="114">
        <f t="shared" si="23"/>
        <v>11</v>
      </c>
      <c r="S18" s="114">
        <f t="shared" si="24"/>
        <v>0</v>
      </c>
      <c r="T18" s="93">
        <f t="shared" si="25"/>
        <v>1</v>
      </c>
      <c r="U18" t="s">
        <v>0</v>
      </c>
      <c r="V18" s="79">
        <v>4</v>
      </c>
      <c r="W18" s="76"/>
      <c r="X18" s="76"/>
      <c r="Y18" s="76"/>
      <c r="Z18" s="76"/>
      <c r="AA18" s="80"/>
      <c r="AB18" s="79">
        <v>3</v>
      </c>
      <c r="AC18" s="76">
        <v>4</v>
      </c>
      <c r="AD18" s="76"/>
      <c r="AE18" s="76"/>
      <c r="AF18" s="76"/>
      <c r="AG18" s="80"/>
      <c r="AH18" s="79"/>
      <c r="AI18" s="76"/>
      <c r="AJ18" s="76"/>
      <c r="AK18" s="76"/>
      <c r="AL18" s="76"/>
      <c r="AM18" s="80"/>
      <c r="AN18" s="79"/>
      <c r="AO18" s="76"/>
      <c r="AP18" s="76"/>
      <c r="AQ18" s="76"/>
      <c r="AR18" s="76"/>
      <c r="AS18" s="80"/>
      <c r="AT18" s="79"/>
      <c r="AU18" s="76"/>
      <c r="AV18" s="76"/>
      <c r="AW18" s="76"/>
      <c r="AX18" s="76"/>
      <c r="AY18" s="80"/>
      <c r="AZ18" s="79"/>
      <c r="BA18" s="76"/>
      <c r="BB18" s="76"/>
      <c r="BC18" s="76"/>
      <c r="BD18" s="76"/>
      <c r="BE18" s="80"/>
      <c r="BF18" s="79"/>
      <c r="BG18" s="76"/>
      <c r="BH18" s="76"/>
      <c r="BI18" s="76"/>
      <c r="BJ18" s="76"/>
      <c r="BK18" s="80"/>
      <c r="BM18" s="125">
        <f t="shared" si="26"/>
        <v>4</v>
      </c>
      <c r="BN18" s="126">
        <f t="shared" si="27"/>
        <v>7</v>
      </c>
      <c r="BO18" s="126">
        <f t="shared" si="28"/>
        <v>0</v>
      </c>
      <c r="BP18" s="126">
        <f t="shared" si="29"/>
        <v>0</v>
      </c>
      <c r="BQ18" s="126">
        <f>SUM(AT18:AY18)</f>
        <v>0</v>
      </c>
      <c r="BR18" s="126">
        <f t="shared" si="30"/>
        <v>0</v>
      </c>
      <c r="BS18" s="127">
        <f t="shared" si="31"/>
        <v>0</v>
      </c>
      <c r="BT18" s="74"/>
      <c r="BU18" s="125">
        <f t="shared" si="32"/>
        <v>4</v>
      </c>
      <c r="BV18" s="126">
        <f t="shared" si="33"/>
        <v>7</v>
      </c>
      <c r="BW18" s="126">
        <f t="shared" si="34"/>
        <v>0</v>
      </c>
      <c r="BX18" s="126">
        <f t="shared" si="35"/>
        <v>0</v>
      </c>
      <c r="BY18" s="126">
        <f t="shared" si="36"/>
        <v>0</v>
      </c>
      <c r="BZ18" s="126">
        <f t="shared" si="36"/>
        <v>0</v>
      </c>
      <c r="CA18" s="126">
        <f t="shared" si="36"/>
        <v>0</v>
      </c>
    </row>
    <row r="19" spans="1:79" ht="15.75">
      <c r="A19" s="152" t="str">
        <f t="shared" si="5"/>
        <v>P</v>
      </c>
      <c r="B19" s="153">
        <f t="shared" si="6"/>
        <v>10000</v>
      </c>
      <c r="C19" s="154" t="s">
        <v>41</v>
      </c>
      <c r="D19" s="155" t="s">
        <v>0</v>
      </c>
      <c r="E19" s="155" t="s">
        <v>0</v>
      </c>
      <c r="F19" s="156" t="s">
        <v>42</v>
      </c>
      <c r="G19" s="155" t="s">
        <v>0</v>
      </c>
      <c r="H19" s="155" t="s">
        <v>0</v>
      </c>
      <c r="I19" s="155" t="s">
        <v>0</v>
      </c>
      <c r="J19" s="157" t="s">
        <v>0</v>
      </c>
      <c r="K19" s="11" t="s">
        <v>0</v>
      </c>
      <c r="L19" s="8" t="s">
        <v>0</v>
      </c>
      <c r="M19" s="9">
        <v>0</v>
      </c>
      <c r="N19" s="9">
        <v>10</v>
      </c>
      <c r="O19" s="10">
        <v>10</v>
      </c>
      <c r="P19" s="111"/>
      <c r="Q19" s="112"/>
      <c r="R19" s="112">
        <f>SUMIFS(R20:R$415,$C20:$C$415,$C19)</f>
        <v>10</v>
      </c>
      <c r="S19" s="112">
        <f>SUMIFS(S20:S$415,$C20:$C$415,$C19)</f>
        <v>0</v>
      </c>
      <c r="T19" s="92">
        <f>R19/O19</f>
        <v>1</v>
      </c>
      <c r="V19" s="77"/>
      <c r="W19" s="75"/>
      <c r="X19" s="75"/>
      <c r="Y19" s="75"/>
      <c r="Z19" s="75"/>
      <c r="AA19" s="78"/>
      <c r="AB19" s="77"/>
      <c r="AC19" s="75"/>
      <c r="AD19" s="75"/>
      <c r="AE19" s="75"/>
      <c r="AF19" s="75"/>
      <c r="AG19" s="78"/>
      <c r="AH19" s="77"/>
      <c r="AI19" s="75"/>
      <c r="AJ19" s="75"/>
      <c r="AK19" s="75"/>
      <c r="AL19" s="75"/>
      <c r="AM19" s="78"/>
      <c r="AN19" s="77"/>
      <c r="AO19" s="75"/>
      <c r="AP19" s="75"/>
      <c r="AQ19" s="75"/>
      <c r="AR19" s="75"/>
      <c r="AS19" s="78"/>
      <c r="AT19" s="77"/>
      <c r="AU19" s="75"/>
      <c r="AV19" s="75"/>
      <c r="AW19" s="75"/>
      <c r="AX19" s="75"/>
      <c r="AY19" s="78"/>
      <c r="AZ19" s="77"/>
      <c r="BA19" s="75"/>
      <c r="BB19" s="75"/>
      <c r="BC19" s="75"/>
      <c r="BD19" s="75"/>
      <c r="BE19" s="78"/>
      <c r="BF19" s="77"/>
      <c r="BG19" s="75"/>
      <c r="BH19" s="75"/>
      <c r="BI19" s="75"/>
      <c r="BJ19" s="75"/>
      <c r="BK19" s="78"/>
      <c r="BM19" s="122"/>
      <c r="BN19" s="123"/>
      <c r="BO19" s="123"/>
      <c r="BP19" s="123"/>
      <c r="BQ19" s="123"/>
      <c r="BR19" s="123"/>
      <c r="BS19" s="124"/>
      <c r="BT19" s="74"/>
      <c r="BU19" s="122"/>
      <c r="BV19" s="123"/>
      <c r="BW19" s="123"/>
      <c r="BX19" s="123"/>
      <c r="BY19" s="123"/>
      <c r="BZ19" s="123"/>
      <c r="CA19" s="123"/>
    </row>
    <row r="20" spans="1:79">
      <c r="A20" s="147" t="str">
        <f t="shared" si="5"/>
        <v>D</v>
      </c>
      <c r="B20" s="148">
        <f t="shared" si="6"/>
        <v>10000</v>
      </c>
      <c r="C20" s="149" t="s">
        <v>41</v>
      </c>
      <c r="D20" s="150" t="s">
        <v>0</v>
      </c>
      <c r="E20" s="150" t="s">
        <v>0</v>
      </c>
      <c r="F20" s="145" t="s">
        <v>43</v>
      </c>
      <c r="G20" s="150" t="s">
        <v>0</v>
      </c>
      <c r="H20" s="150" t="s">
        <v>0</v>
      </c>
      <c r="I20" s="150" t="s">
        <v>0</v>
      </c>
      <c r="J20" s="151" t="s">
        <v>0</v>
      </c>
      <c r="K20" s="13">
        <v>1</v>
      </c>
      <c r="L20" s="12" t="s">
        <v>25</v>
      </c>
      <c r="M20" s="13">
        <v>0</v>
      </c>
      <c r="N20" s="13">
        <v>10</v>
      </c>
      <c r="O20" s="14">
        <v>10</v>
      </c>
      <c r="P20" s="113">
        <f>SUM(BM20:BS20)</f>
        <v>1</v>
      </c>
      <c r="Q20" s="114">
        <f>K20-P20</f>
        <v>0</v>
      </c>
      <c r="R20" s="114">
        <f>SUM(BU20:CA20)</f>
        <v>10</v>
      </c>
      <c r="S20" s="114">
        <f>O20-R20</f>
        <v>0</v>
      </c>
      <c r="T20" s="93">
        <f>R20/O20</f>
        <v>1</v>
      </c>
      <c r="U20" t="s">
        <v>0</v>
      </c>
      <c r="V20" s="79"/>
      <c r="W20" s="76"/>
      <c r="X20" s="76">
        <v>1</v>
      </c>
      <c r="Y20" s="76"/>
      <c r="Z20" s="76"/>
      <c r="AA20" s="80"/>
      <c r="AB20" s="79"/>
      <c r="AC20" s="76"/>
      <c r="AD20" s="76"/>
      <c r="AE20" s="76"/>
      <c r="AF20" s="76"/>
      <c r="AG20" s="80"/>
      <c r="AH20" s="79"/>
      <c r="AI20" s="76"/>
      <c r="AJ20" s="76"/>
      <c r="AK20" s="76"/>
      <c r="AL20" s="76"/>
      <c r="AM20" s="80"/>
      <c r="AN20" s="79"/>
      <c r="AO20" s="76"/>
      <c r="AP20" s="76"/>
      <c r="AQ20" s="76"/>
      <c r="AR20" s="76"/>
      <c r="AS20" s="80"/>
      <c r="AT20" s="79"/>
      <c r="AU20" s="76"/>
      <c r="AV20" s="76"/>
      <c r="AW20" s="76"/>
      <c r="AX20" s="76"/>
      <c r="AY20" s="80"/>
      <c r="AZ20" s="79"/>
      <c r="BA20" s="76"/>
      <c r="BB20" s="76"/>
      <c r="BC20" s="76"/>
      <c r="BD20" s="76"/>
      <c r="BE20" s="80"/>
      <c r="BF20" s="79"/>
      <c r="BG20" s="76"/>
      <c r="BH20" s="76"/>
      <c r="BI20" s="76"/>
      <c r="BJ20" s="76"/>
      <c r="BK20" s="80"/>
      <c r="BM20" s="125">
        <f>SUM(V20:AA20)</f>
        <v>1</v>
      </c>
      <c r="BN20" s="126">
        <f>SUM(AB20:AG20)</f>
        <v>0</v>
      </c>
      <c r="BO20" s="126">
        <f>SUM(AH20:AM20)</f>
        <v>0</v>
      </c>
      <c r="BP20" s="126">
        <f>SUM(AN20:AS20)</f>
        <v>0</v>
      </c>
      <c r="BQ20" s="126">
        <f>SUM(AT20:AY20)</f>
        <v>0</v>
      </c>
      <c r="BR20" s="126">
        <f>SUM(AZ20:BE20)</f>
        <v>0</v>
      </c>
      <c r="BS20" s="127">
        <f>SUM(BF20:BK20)</f>
        <v>0</v>
      </c>
      <c r="BT20" s="74"/>
      <c r="BU20" s="125">
        <f>(BM20/$K20)*$O20</f>
        <v>10</v>
      </c>
      <c r="BV20" s="126">
        <f t="shared" ref="BV20" si="37">(BN20/$K20)*$O20</f>
        <v>0</v>
      </c>
      <c r="BW20" s="126">
        <f t="shared" ref="BW20" si="38">(BO20/$K20)*$O20</f>
        <v>0</v>
      </c>
      <c r="BX20" s="126">
        <f t="shared" ref="BX20" si="39">(BP20/$K20)*$O20</f>
        <v>0</v>
      </c>
      <c r="BY20" s="126">
        <f t="shared" ref="BY20:CA20" si="40">(BQ20/$K20)*$O20</f>
        <v>0</v>
      </c>
      <c r="BZ20" s="126">
        <f t="shared" si="40"/>
        <v>0</v>
      </c>
      <c r="CA20" s="126">
        <f t="shared" si="40"/>
        <v>0</v>
      </c>
    </row>
    <row r="21" spans="1:79" ht="18.75">
      <c r="A21" s="158" t="str">
        <f t="shared" si="5"/>
        <v>W</v>
      </c>
      <c r="B21" s="159">
        <f t="shared" si="6"/>
        <v>30000</v>
      </c>
      <c r="C21" s="160" t="s">
        <v>14</v>
      </c>
      <c r="D21" s="161" t="s">
        <v>0</v>
      </c>
      <c r="E21" s="161" t="s">
        <v>0</v>
      </c>
      <c r="F21" s="162" t="s">
        <v>44</v>
      </c>
      <c r="G21" s="161" t="s">
        <v>0</v>
      </c>
      <c r="H21" s="161" t="s">
        <v>0</v>
      </c>
      <c r="I21" s="161" t="s">
        <v>0</v>
      </c>
      <c r="J21" s="163" t="s">
        <v>0</v>
      </c>
      <c r="K21" s="6" t="s">
        <v>0</v>
      </c>
      <c r="L21" s="3" t="s">
        <v>0</v>
      </c>
      <c r="M21" s="4">
        <v>58.88</v>
      </c>
      <c r="N21" s="4">
        <v>0</v>
      </c>
      <c r="O21" s="5">
        <v>58.88</v>
      </c>
      <c r="P21" s="115"/>
      <c r="Q21" s="116"/>
      <c r="R21" s="116">
        <f>SUMIFS(R22:R$415,$A22:$A$415,"P",$B22:$B$415,$B21)</f>
        <v>58.88</v>
      </c>
      <c r="S21" s="116">
        <f>SUMIFS(S22:S$415,$A22:$A$415,"P",$B22:$B$415,$B21)</f>
        <v>0</v>
      </c>
      <c r="T21" s="94">
        <f>R21/O21</f>
        <v>1</v>
      </c>
      <c r="V21" s="77"/>
      <c r="W21" s="75"/>
      <c r="X21" s="75"/>
      <c r="Y21" s="75"/>
      <c r="Z21" s="75"/>
      <c r="AA21" s="78"/>
      <c r="AB21" s="77"/>
      <c r="AC21" s="75"/>
      <c r="AD21" s="75"/>
      <c r="AE21" s="75"/>
      <c r="AF21" s="75"/>
      <c r="AG21" s="78"/>
      <c r="AH21" s="77"/>
      <c r="AI21" s="75"/>
      <c r="AJ21" s="75"/>
      <c r="AK21" s="75"/>
      <c r="AL21" s="75"/>
      <c r="AM21" s="78"/>
      <c r="AN21" s="77"/>
      <c r="AO21" s="75"/>
      <c r="AP21" s="75"/>
      <c r="AQ21" s="75"/>
      <c r="AR21" s="75"/>
      <c r="AS21" s="78"/>
      <c r="AT21" s="77"/>
      <c r="AU21" s="75"/>
      <c r="AV21" s="75"/>
      <c r="AW21" s="75"/>
      <c r="AX21" s="75"/>
      <c r="AY21" s="78"/>
      <c r="AZ21" s="77"/>
      <c r="BA21" s="75"/>
      <c r="BB21" s="75"/>
      <c r="BC21" s="75"/>
      <c r="BD21" s="75"/>
      <c r="BE21" s="78"/>
      <c r="BF21" s="77"/>
      <c r="BG21" s="75"/>
      <c r="BH21" s="75"/>
      <c r="BI21" s="75"/>
      <c r="BJ21" s="75"/>
      <c r="BK21" s="78"/>
      <c r="BM21" s="122"/>
      <c r="BN21" s="123"/>
      <c r="BO21" s="123"/>
      <c r="BP21" s="123"/>
      <c r="BQ21" s="123"/>
      <c r="BR21" s="123"/>
      <c r="BS21" s="124"/>
      <c r="BT21" s="74"/>
      <c r="BU21" s="122"/>
      <c r="BV21" s="123"/>
      <c r="BW21" s="123"/>
      <c r="BX21" s="123"/>
      <c r="BY21" s="123"/>
      <c r="BZ21" s="123"/>
      <c r="CA21" s="123"/>
    </row>
    <row r="22" spans="1:79" ht="15.75">
      <c r="A22" s="152" t="str">
        <f t="shared" si="5"/>
        <v>P</v>
      </c>
      <c r="B22" s="153">
        <f t="shared" si="6"/>
        <v>30000</v>
      </c>
      <c r="C22" s="154" t="s">
        <v>45</v>
      </c>
      <c r="D22" s="155" t="s">
        <v>0</v>
      </c>
      <c r="E22" s="155" t="s">
        <v>0</v>
      </c>
      <c r="F22" s="156" t="s">
        <v>46</v>
      </c>
      <c r="G22" s="155" t="s">
        <v>0</v>
      </c>
      <c r="H22" s="155" t="s">
        <v>0</v>
      </c>
      <c r="I22" s="155" t="s">
        <v>0</v>
      </c>
      <c r="J22" s="157" t="s">
        <v>0</v>
      </c>
      <c r="K22" s="11" t="s">
        <v>0</v>
      </c>
      <c r="L22" s="8" t="s">
        <v>0</v>
      </c>
      <c r="M22" s="9">
        <v>27.85</v>
      </c>
      <c r="N22" s="9">
        <v>0</v>
      </c>
      <c r="O22" s="10">
        <v>27.85</v>
      </c>
      <c r="P22" s="111"/>
      <c r="Q22" s="112"/>
      <c r="R22" s="112">
        <f>SUMIFS(R23:R$415,$C23:$C$415,$C22)</f>
        <v>27.85</v>
      </c>
      <c r="S22" s="112">
        <f>SUMIFS(S23:S$415,$C23:$C$415,$C22)</f>
        <v>0</v>
      </c>
      <c r="T22" s="92">
        <f>R22/O22</f>
        <v>1</v>
      </c>
      <c r="V22" s="77"/>
      <c r="W22" s="75"/>
      <c r="X22" s="75"/>
      <c r="Y22" s="75"/>
      <c r="Z22" s="75"/>
      <c r="AA22" s="78"/>
      <c r="AB22" s="77"/>
      <c r="AC22" s="75"/>
      <c r="AD22" s="75"/>
      <c r="AE22" s="75"/>
      <c r="AF22" s="75"/>
      <c r="AG22" s="78"/>
      <c r="AH22" s="77"/>
      <c r="AI22" s="75"/>
      <c r="AJ22" s="75"/>
      <c r="AK22" s="75"/>
      <c r="AL22" s="75"/>
      <c r="AM22" s="78"/>
      <c r="AN22" s="77"/>
      <c r="AO22" s="75"/>
      <c r="AP22" s="75"/>
      <c r="AQ22" s="75"/>
      <c r="AR22" s="75"/>
      <c r="AS22" s="78"/>
      <c r="AT22" s="77"/>
      <c r="AU22" s="75"/>
      <c r="AV22" s="75"/>
      <c r="AW22" s="75"/>
      <c r="AX22" s="75"/>
      <c r="AY22" s="78"/>
      <c r="AZ22" s="77"/>
      <c r="BA22" s="75"/>
      <c r="BB22" s="75"/>
      <c r="BC22" s="75"/>
      <c r="BD22" s="75"/>
      <c r="BE22" s="78"/>
      <c r="BF22" s="77"/>
      <c r="BG22" s="75"/>
      <c r="BH22" s="75"/>
      <c r="BI22" s="75"/>
      <c r="BJ22" s="75"/>
      <c r="BK22" s="78"/>
      <c r="BM22" s="122"/>
      <c r="BN22" s="123"/>
      <c r="BO22" s="123"/>
      <c r="BP22" s="123"/>
      <c r="BQ22" s="123"/>
      <c r="BR22" s="123"/>
      <c r="BS22" s="124"/>
      <c r="BT22" s="74"/>
      <c r="BU22" s="122"/>
      <c r="BV22" s="123"/>
      <c r="BW22" s="123"/>
      <c r="BX22" s="123"/>
      <c r="BY22" s="123"/>
      <c r="BZ22" s="123"/>
      <c r="CA22" s="123"/>
    </row>
    <row r="23" spans="1:79">
      <c r="A23" s="147" t="str">
        <f t="shared" si="5"/>
        <v>D</v>
      </c>
      <c r="B23" s="148">
        <f t="shared" si="6"/>
        <v>30000</v>
      </c>
      <c r="C23" s="149" t="s">
        <v>45</v>
      </c>
      <c r="D23" s="150" t="s">
        <v>0</v>
      </c>
      <c r="E23" s="150" t="s">
        <v>0</v>
      </c>
      <c r="F23" s="145" t="s">
        <v>47</v>
      </c>
      <c r="G23" s="150" t="s">
        <v>0</v>
      </c>
      <c r="H23" s="150" t="s">
        <v>0</v>
      </c>
      <c r="I23" s="150" t="s">
        <v>0</v>
      </c>
      <c r="J23" s="151" t="s">
        <v>0</v>
      </c>
      <c r="K23" s="13">
        <v>11</v>
      </c>
      <c r="L23" s="12" t="s">
        <v>48</v>
      </c>
      <c r="M23" s="13">
        <v>3.85</v>
      </c>
      <c r="N23" s="13">
        <v>0</v>
      </c>
      <c r="O23" s="14">
        <v>3.85</v>
      </c>
      <c r="P23" s="113">
        <f t="shared" ref="P23:P26" si="41">SUM(BM23:BS23)</f>
        <v>11</v>
      </c>
      <c r="Q23" s="114">
        <f t="shared" ref="Q23:Q26" si="42">K23-P23</f>
        <v>0</v>
      </c>
      <c r="R23" s="114">
        <f t="shared" ref="R23:R26" si="43">SUM(BU23:CA23)</f>
        <v>3.85</v>
      </c>
      <c r="S23" s="114">
        <f t="shared" ref="S23:S26" si="44">O23-R23</f>
        <v>0</v>
      </c>
      <c r="T23" s="93">
        <f t="shared" ref="T23:T26" si="45">R23/O23</f>
        <v>1</v>
      </c>
      <c r="U23" t="s">
        <v>0</v>
      </c>
      <c r="V23" s="79"/>
      <c r="W23" s="76"/>
      <c r="X23" s="76"/>
      <c r="Y23" s="76">
        <v>1</v>
      </c>
      <c r="Z23" s="76"/>
      <c r="AA23" s="80"/>
      <c r="AB23" s="79"/>
      <c r="AC23" s="76"/>
      <c r="AD23" s="76"/>
      <c r="AE23" s="76"/>
      <c r="AF23" s="76"/>
      <c r="AG23" s="80"/>
      <c r="AH23" s="79">
        <v>10</v>
      </c>
      <c r="AI23" s="76"/>
      <c r="AJ23" s="76"/>
      <c r="AK23" s="76"/>
      <c r="AL23" s="76"/>
      <c r="AM23" s="80"/>
      <c r="AN23" s="79"/>
      <c r="AO23" s="76"/>
      <c r="AP23" s="76"/>
      <c r="AQ23" s="76"/>
      <c r="AR23" s="76"/>
      <c r="AS23" s="80"/>
      <c r="AT23" s="79"/>
      <c r="AU23" s="76"/>
      <c r="AV23" s="76"/>
      <c r="AW23" s="76"/>
      <c r="AX23" s="76"/>
      <c r="AY23" s="80"/>
      <c r="AZ23" s="79"/>
      <c r="BA23" s="76"/>
      <c r="BB23" s="76"/>
      <c r="BC23" s="76"/>
      <c r="BD23" s="76"/>
      <c r="BE23" s="80"/>
      <c r="BF23" s="79"/>
      <c r="BG23" s="76"/>
      <c r="BH23" s="76"/>
      <c r="BI23" s="76"/>
      <c r="BJ23" s="76"/>
      <c r="BK23" s="80"/>
      <c r="BM23" s="125">
        <f t="shared" ref="BM23:BM26" si="46">SUM(V23:AA23)</f>
        <v>1</v>
      </c>
      <c r="BN23" s="126">
        <f t="shared" ref="BN23:BN26" si="47">SUM(AB23:AG23)</f>
        <v>0</v>
      </c>
      <c r="BO23" s="126">
        <f t="shared" ref="BO23:BO26" si="48">SUM(AH23:AM23)</f>
        <v>10</v>
      </c>
      <c r="BP23" s="126">
        <f t="shared" ref="BP23:BP26" si="49">SUM(AN23:AS23)</f>
        <v>0</v>
      </c>
      <c r="BQ23" s="126">
        <f>SUM(AT23:AY23)</f>
        <v>0</v>
      </c>
      <c r="BR23" s="126">
        <f t="shared" ref="BR23:BS26" si="50">SUM(AZ23:BE23)</f>
        <v>0</v>
      </c>
      <c r="BS23" s="127">
        <f t="shared" ref="BS23:BS26" si="51">SUM(BF23:BK23)</f>
        <v>0</v>
      </c>
      <c r="BT23" s="74"/>
      <c r="BU23" s="125">
        <f t="shared" ref="BU23:BU26" si="52">(BM23/$K23)*$O23</f>
        <v>0.35000000000000003</v>
      </c>
      <c r="BV23" s="126">
        <f t="shared" ref="BV23:BV26" si="53">(BN23/$K23)*$O23</f>
        <v>0</v>
      </c>
      <c r="BW23" s="126">
        <f t="shared" ref="BW23:BW26" si="54">(BO23/$K23)*$O23</f>
        <v>3.5</v>
      </c>
      <c r="BX23" s="126">
        <f t="shared" ref="BX23:BX26" si="55">(BP23/$K23)*$O23</f>
        <v>0</v>
      </c>
      <c r="BY23" s="126">
        <f t="shared" ref="BY23:CA26" si="56">(BQ23/$K23)*$O23</f>
        <v>0</v>
      </c>
      <c r="BZ23" s="126">
        <f t="shared" si="56"/>
        <v>0</v>
      </c>
      <c r="CA23" s="126">
        <f t="shared" si="56"/>
        <v>0</v>
      </c>
    </row>
    <row r="24" spans="1:79">
      <c r="A24" s="147" t="str">
        <f t="shared" si="5"/>
        <v>D</v>
      </c>
      <c r="B24" s="148">
        <f t="shared" si="6"/>
        <v>30000</v>
      </c>
      <c r="C24" s="149" t="s">
        <v>45</v>
      </c>
      <c r="D24" s="150" t="s">
        <v>0</v>
      </c>
      <c r="E24" s="150" t="s">
        <v>0</v>
      </c>
      <c r="F24" s="145" t="s">
        <v>49</v>
      </c>
      <c r="G24" s="150" t="s">
        <v>0</v>
      </c>
      <c r="H24" s="150" t="s">
        <v>0</v>
      </c>
      <c r="I24" s="150" t="s">
        <v>0</v>
      </c>
      <c r="J24" s="151" t="s">
        <v>0</v>
      </c>
      <c r="K24" s="13">
        <v>4</v>
      </c>
      <c r="L24" s="12" t="s">
        <v>32</v>
      </c>
      <c r="M24" s="13">
        <v>8</v>
      </c>
      <c r="N24" s="13">
        <v>0</v>
      </c>
      <c r="O24" s="14">
        <v>8</v>
      </c>
      <c r="P24" s="113">
        <f t="shared" si="41"/>
        <v>4</v>
      </c>
      <c r="Q24" s="114">
        <f t="shared" si="42"/>
        <v>0</v>
      </c>
      <c r="R24" s="114">
        <f t="shared" si="43"/>
        <v>8</v>
      </c>
      <c r="S24" s="114">
        <f t="shared" si="44"/>
        <v>0</v>
      </c>
      <c r="T24" s="93">
        <f t="shared" si="45"/>
        <v>1</v>
      </c>
      <c r="U24" t="s">
        <v>0</v>
      </c>
      <c r="V24" s="79"/>
      <c r="W24" s="76"/>
      <c r="X24" s="76"/>
      <c r="Y24" s="76"/>
      <c r="Z24" s="76"/>
      <c r="AA24" s="80"/>
      <c r="AB24" s="79"/>
      <c r="AC24" s="76"/>
      <c r="AD24" s="76"/>
      <c r="AE24" s="76"/>
      <c r="AF24" s="76"/>
      <c r="AG24" s="80"/>
      <c r="AH24" s="79"/>
      <c r="AI24" s="76"/>
      <c r="AJ24" s="76"/>
      <c r="AK24" s="76"/>
      <c r="AL24" s="76"/>
      <c r="AM24" s="80"/>
      <c r="AN24" s="79"/>
      <c r="AO24" s="76"/>
      <c r="AP24" s="76"/>
      <c r="AQ24" s="76">
        <v>2</v>
      </c>
      <c r="AR24" s="76">
        <v>1</v>
      </c>
      <c r="AS24" s="80">
        <v>1</v>
      </c>
      <c r="AT24" s="79"/>
      <c r="AU24" s="76"/>
      <c r="AV24" s="76"/>
      <c r="AW24" s="76"/>
      <c r="AX24" s="76"/>
      <c r="AY24" s="80"/>
      <c r="AZ24" s="79"/>
      <c r="BA24" s="76"/>
      <c r="BB24" s="76"/>
      <c r="BC24" s="76"/>
      <c r="BD24" s="76"/>
      <c r="BE24" s="80"/>
      <c r="BF24" s="79"/>
      <c r="BG24" s="76"/>
      <c r="BH24" s="76"/>
      <c r="BI24" s="76"/>
      <c r="BJ24" s="76"/>
      <c r="BK24" s="80"/>
      <c r="BM24" s="125">
        <f t="shared" si="46"/>
        <v>0</v>
      </c>
      <c r="BN24" s="126">
        <f t="shared" si="47"/>
        <v>0</v>
      </c>
      <c r="BO24" s="126">
        <f t="shared" si="48"/>
        <v>0</v>
      </c>
      <c r="BP24" s="126">
        <f t="shared" si="49"/>
        <v>4</v>
      </c>
      <c r="BQ24" s="126">
        <f>SUM(AT24:AY24)</f>
        <v>0</v>
      </c>
      <c r="BR24" s="126">
        <f t="shared" si="50"/>
        <v>0</v>
      </c>
      <c r="BS24" s="127">
        <f t="shared" si="51"/>
        <v>0</v>
      </c>
      <c r="BT24" s="74"/>
      <c r="BU24" s="125">
        <f t="shared" si="52"/>
        <v>0</v>
      </c>
      <c r="BV24" s="126">
        <f t="shared" si="53"/>
        <v>0</v>
      </c>
      <c r="BW24" s="126">
        <f t="shared" si="54"/>
        <v>0</v>
      </c>
      <c r="BX24" s="126">
        <f t="shared" si="55"/>
        <v>8</v>
      </c>
      <c r="BY24" s="126">
        <f t="shared" si="56"/>
        <v>0</v>
      </c>
      <c r="BZ24" s="126">
        <f t="shared" si="56"/>
        <v>0</v>
      </c>
      <c r="CA24" s="126">
        <f t="shared" si="56"/>
        <v>0</v>
      </c>
    </row>
    <row r="25" spans="1:79">
      <c r="A25" s="147" t="str">
        <f t="shared" si="5"/>
        <v>D</v>
      </c>
      <c r="B25" s="148">
        <f t="shared" si="6"/>
        <v>30000</v>
      </c>
      <c r="C25" s="149" t="s">
        <v>45</v>
      </c>
      <c r="D25" s="150" t="s">
        <v>0</v>
      </c>
      <c r="E25" s="150" t="s">
        <v>0</v>
      </c>
      <c r="F25" s="145" t="s">
        <v>50</v>
      </c>
      <c r="G25" s="150" t="s">
        <v>0</v>
      </c>
      <c r="H25" s="150" t="s">
        <v>0</v>
      </c>
      <c r="I25" s="150" t="s">
        <v>0</v>
      </c>
      <c r="J25" s="151" t="s">
        <v>0</v>
      </c>
      <c r="K25" s="13">
        <v>4</v>
      </c>
      <c r="L25" s="12" t="s">
        <v>32</v>
      </c>
      <c r="M25" s="13">
        <v>8</v>
      </c>
      <c r="N25" s="13">
        <v>0</v>
      </c>
      <c r="O25" s="14">
        <v>8</v>
      </c>
      <c r="P25" s="113">
        <f t="shared" si="41"/>
        <v>4</v>
      </c>
      <c r="Q25" s="114">
        <f t="shared" si="42"/>
        <v>0</v>
      </c>
      <c r="R25" s="114">
        <f t="shared" si="43"/>
        <v>8</v>
      </c>
      <c r="S25" s="114">
        <f t="shared" si="44"/>
        <v>0</v>
      </c>
      <c r="T25" s="93">
        <f t="shared" si="45"/>
        <v>1</v>
      </c>
      <c r="U25" t="s">
        <v>0</v>
      </c>
      <c r="V25" s="79"/>
      <c r="W25" s="76"/>
      <c r="X25" s="76"/>
      <c r="Y25" s="76"/>
      <c r="Z25" s="76"/>
      <c r="AA25" s="80"/>
      <c r="AB25" s="79"/>
      <c r="AC25" s="76"/>
      <c r="AD25" s="76"/>
      <c r="AE25" s="76"/>
      <c r="AF25" s="76"/>
      <c r="AG25" s="80"/>
      <c r="AH25" s="79"/>
      <c r="AI25" s="76"/>
      <c r="AJ25" s="76"/>
      <c r="AK25" s="76"/>
      <c r="AL25" s="76"/>
      <c r="AM25" s="80"/>
      <c r="AN25" s="79"/>
      <c r="AO25" s="76"/>
      <c r="AP25" s="76"/>
      <c r="AQ25" s="76">
        <v>2</v>
      </c>
      <c r="AR25" s="76">
        <v>1</v>
      </c>
      <c r="AS25" s="80">
        <v>1</v>
      </c>
      <c r="AT25" s="79"/>
      <c r="AU25" s="76"/>
      <c r="AV25" s="76"/>
      <c r="AW25" s="76"/>
      <c r="AX25" s="76"/>
      <c r="AY25" s="80"/>
      <c r="AZ25" s="79"/>
      <c r="BA25" s="76"/>
      <c r="BB25" s="76"/>
      <c r="BC25" s="76"/>
      <c r="BD25" s="76"/>
      <c r="BE25" s="80"/>
      <c r="BF25" s="79"/>
      <c r="BG25" s="76"/>
      <c r="BH25" s="76"/>
      <c r="BI25" s="76"/>
      <c r="BJ25" s="76"/>
      <c r="BK25" s="80"/>
      <c r="BM25" s="125">
        <f t="shared" si="46"/>
        <v>0</v>
      </c>
      <c r="BN25" s="126">
        <f t="shared" si="47"/>
        <v>0</v>
      </c>
      <c r="BO25" s="126">
        <f t="shared" si="48"/>
        <v>0</v>
      </c>
      <c r="BP25" s="126">
        <f t="shared" si="49"/>
        <v>4</v>
      </c>
      <c r="BQ25" s="126">
        <f>SUM(AT25:AY25)</f>
        <v>0</v>
      </c>
      <c r="BR25" s="126">
        <f t="shared" si="50"/>
        <v>0</v>
      </c>
      <c r="BS25" s="127">
        <f t="shared" si="51"/>
        <v>0</v>
      </c>
      <c r="BT25" s="74"/>
      <c r="BU25" s="125">
        <f t="shared" si="52"/>
        <v>0</v>
      </c>
      <c r="BV25" s="126">
        <f t="shared" si="53"/>
        <v>0</v>
      </c>
      <c r="BW25" s="126">
        <f t="shared" si="54"/>
        <v>0</v>
      </c>
      <c r="BX25" s="126">
        <f t="shared" si="55"/>
        <v>8</v>
      </c>
      <c r="BY25" s="126">
        <f t="shared" si="56"/>
        <v>0</v>
      </c>
      <c r="BZ25" s="126">
        <f t="shared" si="56"/>
        <v>0</v>
      </c>
      <c r="CA25" s="126">
        <f t="shared" si="56"/>
        <v>0</v>
      </c>
    </row>
    <row r="26" spans="1:79">
      <c r="A26" s="147" t="str">
        <f t="shared" si="5"/>
        <v>D</v>
      </c>
      <c r="B26" s="148">
        <f t="shared" si="6"/>
        <v>30000</v>
      </c>
      <c r="C26" s="149" t="s">
        <v>45</v>
      </c>
      <c r="D26" s="150" t="s">
        <v>0</v>
      </c>
      <c r="E26" s="150" t="s">
        <v>0</v>
      </c>
      <c r="F26" s="145" t="s">
        <v>51</v>
      </c>
      <c r="G26" s="150" t="s">
        <v>0</v>
      </c>
      <c r="H26" s="150" t="s">
        <v>0</v>
      </c>
      <c r="I26" s="150" t="s">
        <v>0</v>
      </c>
      <c r="J26" s="151" t="s">
        <v>0</v>
      </c>
      <c r="K26" s="13">
        <v>4</v>
      </c>
      <c r="L26" s="12" t="s">
        <v>32</v>
      </c>
      <c r="M26" s="13">
        <v>8</v>
      </c>
      <c r="N26" s="13">
        <v>0</v>
      </c>
      <c r="O26" s="14">
        <v>8</v>
      </c>
      <c r="P26" s="113">
        <f t="shared" si="41"/>
        <v>4</v>
      </c>
      <c r="Q26" s="114">
        <f t="shared" si="42"/>
        <v>0</v>
      </c>
      <c r="R26" s="114">
        <f t="shared" si="43"/>
        <v>8</v>
      </c>
      <c r="S26" s="114">
        <f t="shared" si="44"/>
        <v>0</v>
      </c>
      <c r="T26" s="93">
        <f t="shared" si="45"/>
        <v>1</v>
      </c>
      <c r="U26" t="s">
        <v>0</v>
      </c>
      <c r="V26" s="79"/>
      <c r="W26" s="76"/>
      <c r="X26" s="76"/>
      <c r="Y26" s="76"/>
      <c r="Z26" s="76"/>
      <c r="AA26" s="80"/>
      <c r="AB26" s="79"/>
      <c r="AC26" s="76"/>
      <c r="AD26" s="76"/>
      <c r="AE26" s="76"/>
      <c r="AF26" s="76"/>
      <c r="AG26" s="80"/>
      <c r="AH26" s="79"/>
      <c r="AI26" s="76">
        <v>1</v>
      </c>
      <c r="AJ26" s="76"/>
      <c r="AK26" s="76"/>
      <c r="AL26" s="76"/>
      <c r="AM26" s="80"/>
      <c r="AN26" s="79"/>
      <c r="AO26" s="76"/>
      <c r="AP26" s="76"/>
      <c r="AQ26" s="76"/>
      <c r="AR26" s="76">
        <v>2</v>
      </c>
      <c r="AS26" s="80">
        <v>1</v>
      </c>
      <c r="AT26" s="79"/>
      <c r="AU26" s="76"/>
      <c r="AV26" s="76"/>
      <c r="AW26" s="76"/>
      <c r="AX26" s="76"/>
      <c r="AY26" s="80"/>
      <c r="AZ26" s="79"/>
      <c r="BA26" s="76"/>
      <c r="BB26" s="76"/>
      <c r="BC26" s="76"/>
      <c r="BD26" s="76"/>
      <c r="BE26" s="80"/>
      <c r="BF26" s="79"/>
      <c r="BG26" s="76"/>
      <c r="BH26" s="76"/>
      <c r="BI26" s="76"/>
      <c r="BJ26" s="76"/>
      <c r="BK26" s="80"/>
      <c r="BM26" s="125">
        <f t="shared" si="46"/>
        <v>0</v>
      </c>
      <c r="BN26" s="126">
        <f t="shared" si="47"/>
        <v>0</v>
      </c>
      <c r="BO26" s="126">
        <f t="shared" si="48"/>
        <v>1</v>
      </c>
      <c r="BP26" s="126">
        <f t="shared" si="49"/>
        <v>3</v>
      </c>
      <c r="BQ26" s="126">
        <f>SUM(AT26:AY26)</f>
        <v>0</v>
      </c>
      <c r="BR26" s="126">
        <f t="shared" si="50"/>
        <v>0</v>
      </c>
      <c r="BS26" s="127">
        <f t="shared" si="51"/>
        <v>0</v>
      </c>
      <c r="BT26" s="74"/>
      <c r="BU26" s="125">
        <f t="shared" si="52"/>
        <v>0</v>
      </c>
      <c r="BV26" s="126">
        <f t="shared" si="53"/>
        <v>0</v>
      </c>
      <c r="BW26" s="126">
        <f t="shared" si="54"/>
        <v>2</v>
      </c>
      <c r="BX26" s="126">
        <f t="shared" si="55"/>
        <v>6</v>
      </c>
      <c r="BY26" s="126">
        <f t="shared" si="56"/>
        <v>0</v>
      </c>
      <c r="BZ26" s="126">
        <f t="shared" si="56"/>
        <v>0</v>
      </c>
      <c r="CA26" s="126">
        <f t="shared" si="56"/>
        <v>0</v>
      </c>
    </row>
    <row r="27" spans="1:79" ht="15.75">
      <c r="A27" s="152" t="str">
        <f t="shared" si="5"/>
        <v>P</v>
      </c>
      <c r="B27" s="153">
        <f t="shared" si="6"/>
        <v>30000</v>
      </c>
      <c r="C27" s="154" t="s">
        <v>52</v>
      </c>
      <c r="D27" s="155" t="s">
        <v>0</v>
      </c>
      <c r="E27" s="155" t="s">
        <v>0</v>
      </c>
      <c r="F27" s="156" t="s">
        <v>53</v>
      </c>
      <c r="G27" s="155" t="s">
        <v>0</v>
      </c>
      <c r="H27" s="155" t="s">
        <v>0</v>
      </c>
      <c r="I27" s="155" t="s">
        <v>0</v>
      </c>
      <c r="J27" s="157" t="s">
        <v>54</v>
      </c>
      <c r="K27" s="11" t="s">
        <v>0</v>
      </c>
      <c r="L27" s="8" t="s">
        <v>0</v>
      </c>
      <c r="M27" s="9">
        <v>31.03</v>
      </c>
      <c r="N27" s="9">
        <v>0</v>
      </c>
      <c r="O27" s="10">
        <v>31.03</v>
      </c>
      <c r="P27" s="111"/>
      <c r="Q27" s="112"/>
      <c r="R27" s="112">
        <f>SUMIFS(R28:R$415,$C28:$C$415,$C27)</f>
        <v>31.03</v>
      </c>
      <c r="S27" s="112">
        <f>SUMIFS(S28:S$415,$C28:$C$415,$C27)</f>
        <v>0</v>
      </c>
      <c r="T27" s="92">
        <f>R27/O27</f>
        <v>1</v>
      </c>
      <c r="V27" s="77"/>
      <c r="W27" s="75"/>
      <c r="X27" s="75"/>
      <c r="Y27" s="75"/>
      <c r="Z27" s="75"/>
      <c r="AA27" s="78"/>
      <c r="AB27" s="77"/>
      <c r="AC27" s="75"/>
      <c r="AD27" s="75"/>
      <c r="AE27" s="75"/>
      <c r="AF27" s="75"/>
      <c r="AG27" s="78"/>
      <c r="AH27" s="77"/>
      <c r="AI27" s="75"/>
      <c r="AJ27" s="75"/>
      <c r="AK27" s="75"/>
      <c r="AL27" s="75"/>
      <c r="AM27" s="78"/>
      <c r="AN27" s="77"/>
      <c r="AO27" s="75"/>
      <c r="AP27" s="75"/>
      <c r="AQ27" s="75"/>
      <c r="AR27" s="75"/>
      <c r="AS27" s="78"/>
      <c r="AT27" s="77"/>
      <c r="AU27" s="75"/>
      <c r="AV27" s="75"/>
      <c r="AW27" s="75"/>
      <c r="AX27" s="75"/>
      <c r="AY27" s="78"/>
      <c r="AZ27" s="77"/>
      <c r="BA27" s="75"/>
      <c r="BB27" s="75"/>
      <c r="BC27" s="75"/>
      <c r="BD27" s="75"/>
      <c r="BE27" s="78"/>
      <c r="BF27" s="77"/>
      <c r="BG27" s="75"/>
      <c r="BH27" s="75"/>
      <c r="BI27" s="75"/>
      <c r="BJ27" s="75"/>
      <c r="BK27" s="78"/>
      <c r="BM27" s="122"/>
      <c r="BN27" s="123"/>
      <c r="BO27" s="123"/>
      <c r="BP27" s="123"/>
      <c r="BQ27" s="123"/>
      <c r="BR27" s="123"/>
      <c r="BS27" s="124"/>
      <c r="BT27" s="74"/>
      <c r="BU27" s="122"/>
      <c r="BV27" s="123"/>
      <c r="BW27" s="123"/>
      <c r="BX27" s="123"/>
      <c r="BY27" s="123"/>
      <c r="BZ27" s="123"/>
      <c r="CA27" s="123"/>
    </row>
    <row r="28" spans="1:79">
      <c r="A28" s="147" t="str">
        <f t="shared" si="5"/>
        <v>D</v>
      </c>
      <c r="B28" s="148">
        <f t="shared" si="6"/>
        <v>30000</v>
      </c>
      <c r="C28" s="149" t="s">
        <v>52</v>
      </c>
      <c r="D28" s="150" t="s">
        <v>0</v>
      </c>
      <c r="E28" s="150" t="s">
        <v>0</v>
      </c>
      <c r="F28" s="145" t="s">
        <v>47</v>
      </c>
      <c r="G28" s="150" t="s">
        <v>0</v>
      </c>
      <c r="H28" s="150" t="s">
        <v>0</v>
      </c>
      <c r="I28" s="150" t="s">
        <v>0</v>
      </c>
      <c r="J28" s="151" t="s">
        <v>54</v>
      </c>
      <c r="K28" s="13">
        <v>25</v>
      </c>
      <c r="L28" s="12" t="s">
        <v>48</v>
      </c>
      <c r="M28" s="13">
        <v>8.75</v>
      </c>
      <c r="N28" s="13">
        <v>0</v>
      </c>
      <c r="O28" s="14">
        <v>8.75</v>
      </c>
      <c r="P28" s="113">
        <f t="shared" ref="P28:P32" si="57">SUM(BM28:BS28)</f>
        <v>25</v>
      </c>
      <c r="Q28" s="114">
        <f t="shared" ref="Q28:Q32" si="58">K28-P28</f>
        <v>0</v>
      </c>
      <c r="R28" s="114">
        <f t="shared" ref="R28:R32" si="59">SUM(BU28:CA28)</f>
        <v>8.75</v>
      </c>
      <c r="S28" s="114">
        <f t="shared" ref="S28:S32" si="60">O28-R28</f>
        <v>0</v>
      </c>
      <c r="T28" s="93">
        <f t="shared" ref="T28:T32" si="61">R28/O28</f>
        <v>1</v>
      </c>
      <c r="U28" t="s">
        <v>0</v>
      </c>
      <c r="V28" s="79"/>
      <c r="W28" s="76"/>
      <c r="X28" s="76"/>
      <c r="Y28" s="76">
        <v>25</v>
      </c>
      <c r="Z28" s="76"/>
      <c r="AA28" s="80"/>
      <c r="AB28" s="79"/>
      <c r="AC28" s="76"/>
      <c r="AD28" s="76"/>
      <c r="AE28" s="76"/>
      <c r="AF28" s="76"/>
      <c r="AG28" s="80"/>
      <c r="AH28" s="79"/>
      <c r="AI28" s="76"/>
      <c r="AJ28" s="76"/>
      <c r="AK28" s="76"/>
      <c r="AL28" s="76"/>
      <c r="AM28" s="80"/>
      <c r="AN28" s="79"/>
      <c r="AO28" s="76"/>
      <c r="AP28" s="76"/>
      <c r="AQ28" s="76"/>
      <c r="AR28" s="76"/>
      <c r="AS28" s="80"/>
      <c r="AT28" s="79"/>
      <c r="AU28" s="76"/>
      <c r="AV28" s="76"/>
      <c r="AW28" s="76"/>
      <c r="AX28" s="76"/>
      <c r="AY28" s="80"/>
      <c r="AZ28" s="79"/>
      <c r="BA28" s="76"/>
      <c r="BB28" s="76"/>
      <c r="BC28" s="76"/>
      <c r="BD28" s="76"/>
      <c r="BE28" s="80"/>
      <c r="BF28" s="79"/>
      <c r="BG28" s="76"/>
      <c r="BH28" s="76"/>
      <c r="BI28" s="76"/>
      <c r="BJ28" s="76"/>
      <c r="BK28" s="80"/>
      <c r="BM28" s="125">
        <f t="shared" ref="BM28:BM32" si="62">SUM(V28:AA28)</f>
        <v>25</v>
      </c>
      <c r="BN28" s="126">
        <f t="shared" ref="BN28:BN32" si="63">SUM(AB28:AG28)</f>
        <v>0</v>
      </c>
      <c r="BO28" s="126">
        <f t="shared" ref="BO28:BO32" si="64">SUM(AH28:AM28)</f>
        <v>0</v>
      </c>
      <c r="BP28" s="126">
        <f t="shared" ref="BP28:BP32" si="65">SUM(AN28:AS28)</f>
        <v>0</v>
      </c>
      <c r="BQ28" s="126">
        <f>SUM(AT28:AY28)</f>
        <v>0</v>
      </c>
      <c r="BR28" s="126">
        <f t="shared" ref="BR28:BS32" si="66">SUM(AZ28:BE28)</f>
        <v>0</v>
      </c>
      <c r="BS28" s="127">
        <f t="shared" ref="BS28:BS32" si="67">SUM(BF28:BK28)</f>
        <v>0</v>
      </c>
      <c r="BT28" s="74"/>
      <c r="BU28" s="125">
        <f t="shared" ref="BU28:BU32" si="68">(BM28/$K28)*$O28</f>
        <v>8.75</v>
      </c>
      <c r="BV28" s="126">
        <f t="shared" ref="BV28:BV32" si="69">(BN28/$K28)*$O28</f>
        <v>0</v>
      </c>
      <c r="BW28" s="126">
        <f t="shared" ref="BW28:BW32" si="70">(BO28/$K28)*$O28</f>
        <v>0</v>
      </c>
      <c r="BX28" s="126">
        <f t="shared" ref="BX28:BX32" si="71">(BP28/$K28)*$O28</f>
        <v>0</v>
      </c>
      <c r="BY28" s="126">
        <f t="shared" ref="BY28:CA32" si="72">(BQ28/$K28)*$O28</f>
        <v>0</v>
      </c>
      <c r="BZ28" s="126">
        <f t="shared" si="72"/>
        <v>0</v>
      </c>
      <c r="CA28" s="126">
        <f t="shared" si="72"/>
        <v>0</v>
      </c>
    </row>
    <row r="29" spans="1:79">
      <c r="A29" s="147" t="str">
        <f t="shared" si="5"/>
        <v>D</v>
      </c>
      <c r="B29" s="148">
        <f t="shared" si="6"/>
        <v>30000</v>
      </c>
      <c r="C29" s="149" t="s">
        <v>52</v>
      </c>
      <c r="D29" s="150" t="s">
        <v>0</v>
      </c>
      <c r="E29" s="150" t="s">
        <v>0</v>
      </c>
      <c r="F29" s="145" t="s">
        <v>55</v>
      </c>
      <c r="G29" s="150" t="s">
        <v>0</v>
      </c>
      <c r="H29" s="150" t="s">
        <v>0</v>
      </c>
      <c r="I29" s="150" t="s">
        <v>0</v>
      </c>
      <c r="J29" s="151" t="s">
        <v>54</v>
      </c>
      <c r="K29" s="13">
        <v>46</v>
      </c>
      <c r="L29" s="12" t="s">
        <v>56</v>
      </c>
      <c r="M29" s="13">
        <v>13.8</v>
      </c>
      <c r="N29" s="13">
        <v>0</v>
      </c>
      <c r="O29" s="14">
        <v>13.8</v>
      </c>
      <c r="P29" s="113">
        <f t="shared" si="57"/>
        <v>46</v>
      </c>
      <c r="Q29" s="114">
        <f t="shared" si="58"/>
        <v>0</v>
      </c>
      <c r="R29" s="114">
        <f t="shared" si="59"/>
        <v>13.8</v>
      </c>
      <c r="S29" s="114">
        <f t="shared" si="60"/>
        <v>0</v>
      </c>
      <c r="T29" s="93">
        <f t="shared" si="61"/>
        <v>1</v>
      </c>
      <c r="U29" t="s">
        <v>0</v>
      </c>
      <c r="V29" s="79"/>
      <c r="W29" s="76"/>
      <c r="X29" s="76"/>
      <c r="Y29" s="76"/>
      <c r="Z29" s="76"/>
      <c r="AA29" s="80"/>
      <c r="AB29" s="79"/>
      <c r="AC29" s="76"/>
      <c r="AD29" s="76"/>
      <c r="AE29" s="76"/>
      <c r="AF29" s="76"/>
      <c r="AG29" s="80"/>
      <c r="AH29" s="79"/>
      <c r="AI29" s="76"/>
      <c r="AJ29" s="76"/>
      <c r="AK29" s="76"/>
      <c r="AL29" s="76"/>
      <c r="AM29" s="80"/>
      <c r="AN29" s="79"/>
      <c r="AO29" s="76"/>
      <c r="AP29" s="76"/>
      <c r="AQ29" s="76">
        <v>45</v>
      </c>
      <c r="AR29" s="76"/>
      <c r="AS29" s="80">
        <v>1</v>
      </c>
      <c r="AT29" s="79"/>
      <c r="AU29" s="76"/>
      <c r="AV29" s="76"/>
      <c r="AW29" s="76"/>
      <c r="AX29" s="76"/>
      <c r="AY29" s="80"/>
      <c r="AZ29" s="79"/>
      <c r="BA29" s="76"/>
      <c r="BB29" s="76"/>
      <c r="BC29" s="76"/>
      <c r="BD29" s="76"/>
      <c r="BE29" s="80"/>
      <c r="BF29" s="79"/>
      <c r="BG29" s="76"/>
      <c r="BH29" s="76"/>
      <c r="BI29" s="76"/>
      <c r="BJ29" s="76"/>
      <c r="BK29" s="80"/>
      <c r="BM29" s="125">
        <f t="shared" si="62"/>
        <v>0</v>
      </c>
      <c r="BN29" s="126">
        <f t="shared" si="63"/>
        <v>0</v>
      </c>
      <c r="BO29" s="126">
        <f t="shared" si="64"/>
        <v>0</v>
      </c>
      <c r="BP29" s="126">
        <f t="shared" si="65"/>
        <v>46</v>
      </c>
      <c r="BQ29" s="126">
        <f>SUM(AT29:AY29)</f>
        <v>0</v>
      </c>
      <c r="BR29" s="126">
        <f t="shared" si="66"/>
        <v>0</v>
      </c>
      <c r="BS29" s="127">
        <f t="shared" si="67"/>
        <v>0</v>
      </c>
      <c r="BT29" s="74"/>
      <c r="BU29" s="125">
        <f t="shared" si="68"/>
        <v>0</v>
      </c>
      <c r="BV29" s="126">
        <f t="shared" si="69"/>
        <v>0</v>
      </c>
      <c r="BW29" s="126">
        <f t="shared" si="70"/>
        <v>0</v>
      </c>
      <c r="BX29" s="126">
        <f t="shared" si="71"/>
        <v>13.8</v>
      </c>
      <c r="BY29" s="126">
        <f t="shared" si="72"/>
        <v>0</v>
      </c>
      <c r="BZ29" s="126">
        <f t="shared" si="72"/>
        <v>0</v>
      </c>
      <c r="CA29" s="126">
        <f t="shared" si="72"/>
        <v>0</v>
      </c>
    </row>
    <row r="30" spans="1:79">
      <c r="A30" s="147" t="str">
        <f t="shared" si="5"/>
        <v>D</v>
      </c>
      <c r="B30" s="148">
        <f t="shared" si="6"/>
        <v>30000</v>
      </c>
      <c r="C30" s="149" t="s">
        <v>52</v>
      </c>
      <c r="D30" s="150" t="s">
        <v>0</v>
      </c>
      <c r="E30" s="150" t="s">
        <v>0</v>
      </c>
      <c r="F30" s="145" t="s">
        <v>57</v>
      </c>
      <c r="G30" s="150" t="s">
        <v>0</v>
      </c>
      <c r="H30" s="150" t="s">
        <v>0</v>
      </c>
      <c r="I30" s="150" t="s">
        <v>0</v>
      </c>
      <c r="J30" s="151" t="s">
        <v>54</v>
      </c>
      <c r="K30" s="13">
        <v>1.48</v>
      </c>
      <c r="L30" s="12" t="s">
        <v>58</v>
      </c>
      <c r="M30" s="13">
        <v>5.92</v>
      </c>
      <c r="N30" s="13">
        <v>0</v>
      </c>
      <c r="O30" s="14">
        <v>5.92</v>
      </c>
      <c r="P30" s="113">
        <f t="shared" si="57"/>
        <v>1.48</v>
      </c>
      <c r="Q30" s="114">
        <f t="shared" si="58"/>
        <v>0</v>
      </c>
      <c r="R30" s="114">
        <f t="shared" si="59"/>
        <v>5.92</v>
      </c>
      <c r="S30" s="114">
        <f t="shared" si="60"/>
        <v>0</v>
      </c>
      <c r="T30" s="93">
        <f t="shared" si="61"/>
        <v>1</v>
      </c>
      <c r="U30" t="s">
        <v>0</v>
      </c>
      <c r="V30" s="79"/>
      <c r="W30" s="76"/>
      <c r="X30" s="76"/>
      <c r="Y30" s="76"/>
      <c r="Z30" s="76"/>
      <c r="AA30" s="80"/>
      <c r="AB30" s="79"/>
      <c r="AC30" s="76"/>
      <c r="AD30" s="76"/>
      <c r="AE30" s="76"/>
      <c r="AF30" s="76"/>
      <c r="AG30" s="80"/>
      <c r="AH30" s="79"/>
      <c r="AI30" s="76"/>
      <c r="AJ30" s="76"/>
      <c r="AK30" s="76"/>
      <c r="AL30" s="76"/>
      <c r="AM30" s="80"/>
      <c r="AN30" s="79"/>
      <c r="AO30" s="76"/>
      <c r="AP30" s="76"/>
      <c r="AQ30" s="76"/>
      <c r="AR30" s="76"/>
      <c r="AS30" s="80">
        <v>1.48</v>
      </c>
      <c r="AT30" s="79"/>
      <c r="AU30" s="76"/>
      <c r="AV30" s="76"/>
      <c r="AW30" s="76"/>
      <c r="AX30" s="76"/>
      <c r="AY30" s="80"/>
      <c r="AZ30" s="79"/>
      <c r="BA30" s="76"/>
      <c r="BB30" s="76"/>
      <c r="BC30" s="76"/>
      <c r="BD30" s="76"/>
      <c r="BE30" s="80"/>
      <c r="BF30" s="79"/>
      <c r="BG30" s="76"/>
      <c r="BH30" s="76"/>
      <c r="BI30" s="76"/>
      <c r="BJ30" s="76"/>
      <c r="BK30" s="80"/>
      <c r="BM30" s="125">
        <f t="shared" si="62"/>
        <v>0</v>
      </c>
      <c r="BN30" s="126">
        <f t="shared" si="63"/>
        <v>0</v>
      </c>
      <c r="BO30" s="126">
        <f t="shared" si="64"/>
        <v>0</v>
      </c>
      <c r="BP30" s="126">
        <f t="shared" si="65"/>
        <v>1.48</v>
      </c>
      <c r="BQ30" s="126">
        <f>SUM(AT30:AY30)</f>
        <v>0</v>
      </c>
      <c r="BR30" s="126">
        <f t="shared" si="66"/>
        <v>0</v>
      </c>
      <c r="BS30" s="127">
        <f t="shared" si="67"/>
        <v>0</v>
      </c>
      <c r="BT30" s="74"/>
      <c r="BU30" s="125">
        <f t="shared" si="68"/>
        <v>0</v>
      </c>
      <c r="BV30" s="126">
        <f t="shared" si="69"/>
        <v>0</v>
      </c>
      <c r="BW30" s="126">
        <f t="shared" si="70"/>
        <v>0</v>
      </c>
      <c r="BX30" s="126">
        <f t="shared" si="71"/>
        <v>5.92</v>
      </c>
      <c r="BY30" s="126">
        <f t="shared" si="72"/>
        <v>0</v>
      </c>
      <c r="BZ30" s="126">
        <f t="shared" si="72"/>
        <v>0</v>
      </c>
      <c r="CA30" s="126">
        <f t="shared" si="72"/>
        <v>0</v>
      </c>
    </row>
    <row r="31" spans="1:79">
      <c r="A31" s="147" t="str">
        <f t="shared" si="5"/>
        <v>D</v>
      </c>
      <c r="B31" s="148">
        <f t="shared" si="6"/>
        <v>30000</v>
      </c>
      <c r="C31" s="149" t="s">
        <v>52</v>
      </c>
      <c r="D31" s="150" t="s">
        <v>0</v>
      </c>
      <c r="E31" s="150" t="s">
        <v>0</v>
      </c>
      <c r="F31" s="145" t="s">
        <v>59</v>
      </c>
      <c r="G31" s="150" t="s">
        <v>0</v>
      </c>
      <c r="H31" s="150" t="s">
        <v>0</v>
      </c>
      <c r="I31" s="150" t="s">
        <v>0</v>
      </c>
      <c r="J31" s="151" t="s">
        <v>54</v>
      </c>
      <c r="K31" s="13">
        <v>0.32</v>
      </c>
      <c r="L31" s="12" t="s">
        <v>58</v>
      </c>
      <c r="M31" s="13">
        <v>1.28</v>
      </c>
      <c r="N31" s="13">
        <v>0</v>
      </c>
      <c r="O31" s="14">
        <v>1.28</v>
      </c>
      <c r="P31" s="113">
        <f t="shared" si="57"/>
        <v>0.32</v>
      </c>
      <c r="Q31" s="114">
        <f t="shared" si="58"/>
        <v>0</v>
      </c>
      <c r="R31" s="114">
        <f t="shared" si="59"/>
        <v>1.28</v>
      </c>
      <c r="S31" s="114">
        <f t="shared" si="60"/>
        <v>0</v>
      </c>
      <c r="T31" s="93">
        <f t="shared" si="61"/>
        <v>1</v>
      </c>
      <c r="U31" t="s">
        <v>0</v>
      </c>
      <c r="V31" s="79"/>
      <c r="W31" s="76"/>
      <c r="X31" s="76"/>
      <c r="Y31" s="76"/>
      <c r="Z31" s="76"/>
      <c r="AA31" s="80"/>
      <c r="AB31" s="79"/>
      <c r="AC31" s="76"/>
      <c r="AD31" s="76"/>
      <c r="AE31" s="76"/>
      <c r="AF31" s="76"/>
      <c r="AG31" s="80"/>
      <c r="AH31" s="79">
        <v>0.32</v>
      </c>
      <c r="AI31" s="76"/>
      <c r="AJ31" s="76"/>
      <c r="AK31" s="76"/>
      <c r="AL31" s="76"/>
      <c r="AM31" s="80"/>
      <c r="AN31" s="79"/>
      <c r="AO31" s="76"/>
      <c r="AP31" s="76"/>
      <c r="AQ31" s="76"/>
      <c r="AR31" s="76"/>
      <c r="AS31" s="80"/>
      <c r="AT31" s="79"/>
      <c r="AU31" s="76"/>
      <c r="AV31" s="76"/>
      <c r="AW31" s="76"/>
      <c r="AX31" s="76"/>
      <c r="AY31" s="80"/>
      <c r="AZ31" s="79"/>
      <c r="BA31" s="76"/>
      <c r="BB31" s="76"/>
      <c r="BC31" s="76"/>
      <c r="BD31" s="76"/>
      <c r="BE31" s="80"/>
      <c r="BF31" s="79"/>
      <c r="BG31" s="76"/>
      <c r="BH31" s="76"/>
      <c r="BI31" s="76"/>
      <c r="BJ31" s="76"/>
      <c r="BK31" s="80"/>
      <c r="BM31" s="125">
        <f t="shared" si="62"/>
        <v>0</v>
      </c>
      <c r="BN31" s="126">
        <f t="shared" si="63"/>
        <v>0</v>
      </c>
      <c r="BO31" s="126">
        <f t="shared" si="64"/>
        <v>0.32</v>
      </c>
      <c r="BP31" s="126">
        <f t="shared" si="65"/>
        <v>0</v>
      </c>
      <c r="BQ31" s="126">
        <f>SUM(AT31:AY31)</f>
        <v>0</v>
      </c>
      <c r="BR31" s="126">
        <f t="shared" si="66"/>
        <v>0</v>
      </c>
      <c r="BS31" s="127">
        <f t="shared" si="67"/>
        <v>0</v>
      </c>
      <c r="BT31" s="74"/>
      <c r="BU31" s="125">
        <f t="shared" si="68"/>
        <v>0</v>
      </c>
      <c r="BV31" s="126">
        <f t="shared" si="69"/>
        <v>0</v>
      </c>
      <c r="BW31" s="126">
        <f t="shared" si="70"/>
        <v>1.28</v>
      </c>
      <c r="BX31" s="126">
        <f t="shared" si="71"/>
        <v>0</v>
      </c>
      <c r="BY31" s="126">
        <f t="shared" si="72"/>
        <v>0</v>
      </c>
      <c r="BZ31" s="126">
        <f t="shared" si="72"/>
        <v>0</v>
      </c>
      <c r="CA31" s="126">
        <f t="shared" si="72"/>
        <v>0</v>
      </c>
    </row>
    <row r="32" spans="1:79">
      <c r="A32" s="147" t="str">
        <f t="shared" si="5"/>
        <v>D</v>
      </c>
      <c r="B32" s="148">
        <f t="shared" si="6"/>
        <v>30000</v>
      </c>
      <c r="C32" s="149" t="s">
        <v>52</v>
      </c>
      <c r="D32" s="150" t="s">
        <v>0</v>
      </c>
      <c r="E32" s="150" t="s">
        <v>0</v>
      </c>
      <c r="F32" s="145" t="s">
        <v>60</v>
      </c>
      <c r="G32" s="150" t="s">
        <v>0</v>
      </c>
      <c r="H32" s="150" t="s">
        <v>0</v>
      </c>
      <c r="I32" s="150" t="s">
        <v>0</v>
      </c>
      <c r="J32" s="151" t="s">
        <v>54</v>
      </c>
      <c r="K32" s="13">
        <v>0.32</v>
      </c>
      <c r="L32" s="12" t="s">
        <v>58</v>
      </c>
      <c r="M32" s="13">
        <v>1.28</v>
      </c>
      <c r="N32" s="13">
        <v>0</v>
      </c>
      <c r="O32" s="14">
        <v>1.28</v>
      </c>
      <c r="P32" s="113">
        <f t="shared" si="57"/>
        <v>0.32</v>
      </c>
      <c r="Q32" s="114">
        <f t="shared" si="58"/>
        <v>0</v>
      </c>
      <c r="R32" s="114">
        <f t="shared" si="59"/>
        <v>1.28</v>
      </c>
      <c r="S32" s="114">
        <f t="shared" si="60"/>
        <v>0</v>
      </c>
      <c r="T32" s="93">
        <f t="shared" si="61"/>
        <v>1</v>
      </c>
      <c r="U32" t="s">
        <v>0</v>
      </c>
      <c r="V32" s="79"/>
      <c r="W32" s="76"/>
      <c r="X32" s="76"/>
      <c r="Y32" s="76"/>
      <c r="Z32" s="76"/>
      <c r="AA32" s="80"/>
      <c r="AB32" s="79"/>
      <c r="AC32" s="76"/>
      <c r="AD32" s="76"/>
      <c r="AE32" s="76"/>
      <c r="AF32" s="76"/>
      <c r="AG32" s="80"/>
      <c r="AH32" s="79"/>
      <c r="AI32" s="76">
        <v>0.32</v>
      </c>
      <c r="AJ32" s="76"/>
      <c r="AK32" s="76"/>
      <c r="AL32" s="76"/>
      <c r="AM32" s="80"/>
      <c r="AN32" s="79"/>
      <c r="AO32" s="76"/>
      <c r="AP32" s="76"/>
      <c r="AQ32" s="76"/>
      <c r="AR32" s="76"/>
      <c r="AS32" s="80"/>
      <c r="AT32" s="79"/>
      <c r="AU32" s="76"/>
      <c r="AV32" s="76"/>
      <c r="AW32" s="76"/>
      <c r="AX32" s="76"/>
      <c r="AY32" s="80"/>
      <c r="AZ32" s="79"/>
      <c r="BA32" s="76"/>
      <c r="BB32" s="76"/>
      <c r="BC32" s="76"/>
      <c r="BD32" s="76"/>
      <c r="BE32" s="80"/>
      <c r="BF32" s="79"/>
      <c r="BG32" s="76"/>
      <c r="BH32" s="76"/>
      <c r="BI32" s="76"/>
      <c r="BJ32" s="76"/>
      <c r="BK32" s="80"/>
      <c r="BM32" s="125">
        <f t="shared" si="62"/>
        <v>0</v>
      </c>
      <c r="BN32" s="126">
        <f t="shared" si="63"/>
        <v>0</v>
      </c>
      <c r="BO32" s="126">
        <f t="shared" si="64"/>
        <v>0.32</v>
      </c>
      <c r="BP32" s="126">
        <f t="shared" si="65"/>
        <v>0</v>
      </c>
      <c r="BQ32" s="126">
        <f>SUM(AT32:AY32)</f>
        <v>0</v>
      </c>
      <c r="BR32" s="126">
        <f t="shared" si="66"/>
        <v>0</v>
      </c>
      <c r="BS32" s="127">
        <f t="shared" si="67"/>
        <v>0</v>
      </c>
      <c r="BT32" s="74"/>
      <c r="BU32" s="125">
        <f t="shared" si="68"/>
        <v>0</v>
      </c>
      <c r="BV32" s="126">
        <f t="shared" si="69"/>
        <v>0</v>
      </c>
      <c r="BW32" s="126">
        <f t="shared" si="70"/>
        <v>1.28</v>
      </c>
      <c r="BX32" s="126">
        <f t="shared" si="71"/>
        <v>0</v>
      </c>
      <c r="BY32" s="126">
        <f t="shared" si="72"/>
        <v>0</v>
      </c>
      <c r="BZ32" s="126">
        <f t="shared" si="72"/>
        <v>0</v>
      </c>
      <c r="CA32" s="126">
        <f t="shared" si="72"/>
        <v>0</v>
      </c>
    </row>
    <row r="33" spans="1:79" ht="18.75">
      <c r="A33" s="158" t="str">
        <f t="shared" si="5"/>
        <v>W</v>
      </c>
      <c r="B33" s="159">
        <f t="shared" si="6"/>
        <v>40000</v>
      </c>
      <c r="C33" s="160" t="s">
        <v>14</v>
      </c>
      <c r="D33" s="161" t="s">
        <v>0</v>
      </c>
      <c r="E33" s="161" t="s">
        <v>0</v>
      </c>
      <c r="F33" s="162" t="s">
        <v>63</v>
      </c>
      <c r="G33" s="161" t="s">
        <v>0</v>
      </c>
      <c r="H33" s="161" t="s">
        <v>0</v>
      </c>
      <c r="I33" s="161" t="s">
        <v>0</v>
      </c>
      <c r="J33" s="163" t="s">
        <v>0</v>
      </c>
      <c r="K33" s="6" t="s">
        <v>0</v>
      </c>
      <c r="L33" s="3" t="s">
        <v>0</v>
      </c>
      <c r="M33" s="4">
        <v>983.70999999999992</v>
      </c>
      <c r="N33" s="4">
        <v>30</v>
      </c>
      <c r="O33" s="5">
        <v>1013.7099999999999</v>
      </c>
      <c r="P33" s="115"/>
      <c r="Q33" s="116"/>
      <c r="R33" s="116">
        <f>SUMIFS(R34:R$415,$A34:$A$415,"P",$B34:$B$415,$B33)</f>
        <v>993.52</v>
      </c>
      <c r="S33" s="116">
        <f>SUMIFS(S34:S$415,$A34:$A$415,"P",$B34:$B$415,$B33)</f>
        <v>20.190000000000001</v>
      </c>
      <c r="T33" s="94">
        <f>R33/O33</f>
        <v>0.98008306123052946</v>
      </c>
      <c r="V33" s="77"/>
      <c r="W33" s="75"/>
      <c r="X33" s="75"/>
      <c r="Y33" s="75"/>
      <c r="Z33" s="75"/>
      <c r="AA33" s="78"/>
      <c r="AB33" s="77"/>
      <c r="AC33" s="75"/>
      <c r="AD33" s="75"/>
      <c r="AE33" s="75"/>
      <c r="AF33" s="75"/>
      <c r="AG33" s="78"/>
      <c r="AH33" s="77"/>
      <c r="AI33" s="75"/>
      <c r="AJ33" s="75"/>
      <c r="AK33" s="75"/>
      <c r="AL33" s="75"/>
      <c r="AM33" s="78"/>
      <c r="AN33" s="77"/>
      <c r="AO33" s="75"/>
      <c r="AP33" s="75"/>
      <c r="AQ33" s="75"/>
      <c r="AR33" s="75"/>
      <c r="AS33" s="78"/>
      <c r="AT33" s="77"/>
      <c r="AU33" s="75"/>
      <c r="AV33" s="75"/>
      <c r="AW33" s="75"/>
      <c r="AX33" s="75"/>
      <c r="AY33" s="78"/>
      <c r="AZ33" s="77"/>
      <c r="BA33" s="75"/>
      <c r="BB33" s="75"/>
      <c r="BC33" s="75"/>
      <c r="BD33" s="75"/>
      <c r="BE33" s="78"/>
      <c r="BF33" s="77"/>
      <c r="BG33" s="75"/>
      <c r="BH33" s="75"/>
      <c r="BI33" s="75"/>
      <c r="BJ33" s="75"/>
      <c r="BK33" s="78"/>
      <c r="BM33" s="122"/>
      <c r="BN33" s="123"/>
      <c r="BO33" s="123"/>
      <c r="BP33" s="123"/>
      <c r="BQ33" s="123"/>
      <c r="BR33" s="123"/>
      <c r="BS33" s="124"/>
      <c r="BT33" s="74"/>
      <c r="BU33" s="122"/>
      <c r="BV33" s="123"/>
      <c r="BW33" s="123"/>
      <c r="BX33" s="123"/>
      <c r="BY33" s="123"/>
      <c r="BZ33" s="123"/>
      <c r="CA33" s="123"/>
    </row>
    <row r="34" spans="1:79" ht="15.75">
      <c r="A34" s="152" t="str">
        <f t="shared" si="5"/>
        <v>P</v>
      </c>
      <c r="B34" s="153">
        <f t="shared" si="6"/>
        <v>40000</v>
      </c>
      <c r="C34" s="154" t="s">
        <v>64</v>
      </c>
      <c r="D34" s="155" t="s">
        <v>65</v>
      </c>
      <c r="E34" s="155" t="s">
        <v>0</v>
      </c>
      <c r="F34" s="156" t="s">
        <v>66</v>
      </c>
      <c r="G34" s="155" t="s">
        <v>54</v>
      </c>
      <c r="H34" s="155" t="s">
        <v>0</v>
      </c>
      <c r="I34" s="155" t="s">
        <v>0</v>
      </c>
      <c r="J34" s="157" t="s">
        <v>0</v>
      </c>
      <c r="K34" s="9">
        <v>11.5</v>
      </c>
      <c r="L34" s="8" t="s">
        <v>67</v>
      </c>
      <c r="M34" s="9">
        <v>39.630000000000003</v>
      </c>
      <c r="N34" s="9">
        <v>0</v>
      </c>
      <c r="O34" s="10">
        <v>39.630000000000003</v>
      </c>
      <c r="P34" s="111"/>
      <c r="Q34" s="112"/>
      <c r="R34" s="112">
        <f>SUMIFS(R35:R$415,$C35:$C$415,$C34)</f>
        <v>39.630000000000003</v>
      </c>
      <c r="S34" s="112">
        <f>SUMIFS(S35:S$415,$C35:$C$415,$C34)</f>
        <v>0</v>
      </c>
      <c r="T34" s="92">
        <f>R34/O34</f>
        <v>1</v>
      </c>
      <c r="V34" s="77"/>
      <c r="W34" s="75"/>
      <c r="X34" s="75"/>
      <c r="Y34" s="75"/>
      <c r="Z34" s="75"/>
      <c r="AA34" s="78"/>
      <c r="AB34" s="77"/>
      <c r="AC34" s="75"/>
      <c r="AD34" s="75"/>
      <c r="AE34" s="75"/>
      <c r="AF34" s="75"/>
      <c r="AG34" s="78"/>
      <c r="AH34" s="77"/>
      <c r="AI34" s="75"/>
      <c r="AJ34" s="75"/>
      <c r="AK34" s="75"/>
      <c r="AL34" s="75"/>
      <c r="AM34" s="78"/>
      <c r="AN34" s="77"/>
      <c r="AO34" s="75"/>
      <c r="AP34" s="75"/>
      <c r="AQ34" s="75"/>
      <c r="AR34" s="75"/>
      <c r="AS34" s="78"/>
      <c r="AT34" s="77"/>
      <c r="AU34" s="75"/>
      <c r="AV34" s="75"/>
      <c r="AW34" s="75"/>
      <c r="AX34" s="75"/>
      <c r="AY34" s="78"/>
      <c r="AZ34" s="77"/>
      <c r="BA34" s="75"/>
      <c r="BB34" s="75"/>
      <c r="BC34" s="75"/>
      <c r="BD34" s="75"/>
      <c r="BE34" s="78"/>
      <c r="BF34" s="77"/>
      <c r="BG34" s="75"/>
      <c r="BH34" s="75"/>
      <c r="BI34" s="75"/>
      <c r="BJ34" s="75"/>
      <c r="BK34" s="78"/>
      <c r="BM34" s="122"/>
      <c r="BN34" s="123"/>
      <c r="BO34" s="123"/>
      <c r="BP34" s="123"/>
      <c r="BQ34" s="123"/>
      <c r="BR34" s="123"/>
      <c r="BS34" s="124"/>
      <c r="BT34" s="74"/>
      <c r="BU34" s="122"/>
      <c r="BV34" s="123"/>
      <c r="BW34" s="123"/>
      <c r="BX34" s="123"/>
      <c r="BY34" s="123"/>
      <c r="BZ34" s="123"/>
      <c r="CA34" s="123"/>
    </row>
    <row r="35" spans="1:79">
      <c r="A35" s="147" t="str">
        <f t="shared" si="5"/>
        <v>D</v>
      </c>
      <c r="B35" s="148">
        <f t="shared" si="6"/>
        <v>40000</v>
      </c>
      <c r="C35" s="149" t="s">
        <v>64</v>
      </c>
      <c r="D35" s="150" t="s">
        <v>65</v>
      </c>
      <c r="E35" s="150" t="s">
        <v>0</v>
      </c>
      <c r="F35" s="145" t="s">
        <v>68</v>
      </c>
      <c r="G35" s="150" t="s">
        <v>54</v>
      </c>
      <c r="H35" s="150" t="s">
        <v>0</v>
      </c>
      <c r="I35" s="150" t="s">
        <v>0</v>
      </c>
      <c r="J35" s="151" t="s">
        <v>0</v>
      </c>
      <c r="K35" s="13">
        <v>1</v>
      </c>
      <c r="L35" s="12" t="s">
        <v>32</v>
      </c>
      <c r="M35" s="13">
        <v>4</v>
      </c>
      <c r="N35" s="13">
        <v>0</v>
      </c>
      <c r="O35" s="14">
        <v>4</v>
      </c>
      <c r="P35" s="113">
        <f t="shared" ref="P35:P39" si="73">SUM(BM35:BS35)</f>
        <v>1</v>
      </c>
      <c r="Q35" s="114">
        <f t="shared" ref="Q35:Q39" si="74">K35-P35</f>
        <v>0</v>
      </c>
      <c r="R35" s="114">
        <f t="shared" ref="R35:R39" si="75">SUM(BU35:CA35)</f>
        <v>4</v>
      </c>
      <c r="S35" s="114">
        <f t="shared" ref="S35:S39" si="76">O35-R35</f>
        <v>0</v>
      </c>
      <c r="T35" s="93">
        <f t="shared" ref="T35:T39" si="77">R35/O35</f>
        <v>1</v>
      </c>
      <c r="U35" t="s">
        <v>0</v>
      </c>
      <c r="V35" s="79"/>
      <c r="W35" s="76">
        <v>1</v>
      </c>
      <c r="X35" s="76"/>
      <c r="Y35" s="76"/>
      <c r="Z35" s="76"/>
      <c r="AA35" s="80"/>
      <c r="AB35" s="79"/>
      <c r="AC35" s="76"/>
      <c r="AD35" s="76"/>
      <c r="AE35" s="76"/>
      <c r="AF35" s="76"/>
      <c r="AG35" s="80"/>
      <c r="AH35" s="79"/>
      <c r="AI35" s="76"/>
      <c r="AJ35" s="76"/>
      <c r="AK35" s="76"/>
      <c r="AL35" s="76"/>
      <c r="AM35" s="80"/>
      <c r="AN35" s="79"/>
      <c r="AO35" s="76"/>
      <c r="AP35" s="76"/>
      <c r="AQ35" s="76"/>
      <c r="AR35" s="76"/>
      <c r="AS35" s="80"/>
      <c r="AT35" s="79"/>
      <c r="AU35" s="76"/>
      <c r="AV35" s="76"/>
      <c r="AW35" s="76"/>
      <c r="AX35" s="76"/>
      <c r="AY35" s="80"/>
      <c r="AZ35" s="79"/>
      <c r="BA35" s="76"/>
      <c r="BB35" s="76"/>
      <c r="BC35" s="76"/>
      <c r="BD35" s="76"/>
      <c r="BE35" s="80"/>
      <c r="BF35" s="79"/>
      <c r="BG35" s="76"/>
      <c r="BH35" s="76"/>
      <c r="BI35" s="76"/>
      <c r="BJ35" s="76"/>
      <c r="BK35" s="80"/>
      <c r="BM35" s="125">
        <f t="shared" ref="BM35:BM39" si="78">SUM(V35:AA35)</f>
        <v>1</v>
      </c>
      <c r="BN35" s="126">
        <f t="shared" ref="BN35:BN39" si="79">SUM(AB35:AG35)</f>
        <v>0</v>
      </c>
      <c r="BO35" s="126">
        <f t="shared" ref="BO35:BO39" si="80">SUM(AH35:AM35)</f>
        <v>0</v>
      </c>
      <c r="BP35" s="126">
        <f t="shared" ref="BP35:BP39" si="81">SUM(AN35:AS35)</f>
        <v>0</v>
      </c>
      <c r="BQ35" s="126">
        <f>SUM(AT35:AY35)</f>
        <v>0</v>
      </c>
      <c r="BR35" s="126">
        <f t="shared" ref="BR35:BS39" si="82">SUM(AZ35:BE35)</f>
        <v>0</v>
      </c>
      <c r="BS35" s="127">
        <f t="shared" ref="BS35:BS39" si="83">SUM(BF35:BK35)</f>
        <v>0</v>
      </c>
      <c r="BT35" s="74"/>
      <c r="BU35" s="125">
        <f t="shared" ref="BU35:BU39" si="84">(BM35/$K35)*$O35</f>
        <v>4</v>
      </c>
      <c r="BV35" s="126">
        <f t="shared" ref="BV35:BV39" si="85">(BN35/$K35)*$O35</f>
        <v>0</v>
      </c>
      <c r="BW35" s="126">
        <f t="shared" ref="BW35:BW39" si="86">(BO35/$K35)*$O35</f>
        <v>0</v>
      </c>
      <c r="BX35" s="126">
        <f t="shared" ref="BX35:BX39" si="87">(BP35/$K35)*$O35</f>
        <v>0</v>
      </c>
      <c r="BY35" s="126">
        <f t="shared" ref="BY35:CA39" si="88">(BQ35/$K35)*$O35</f>
        <v>0</v>
      </c>
      <c r="BZ35" s="126">
        <f t="shared" si="88"/>
        <v>0</v>
      </c>
      <c r="CA35" s="126">
        <f t="shared" si="88"/>
        <v>0</v>
      </c>
    </row>
    <row r="36" spans="1:79">
      <c r="A36" s="147" t="str">
        <f t="shared" si="5"/>
        <v>D</v>
      </c>
      <c r="B36" s="148">
        <f t="shared" si="6"/>
        <v>40000</v>
      </c>
      <c r="C36" s="149" t="s">
        <v>64</v>
      </c>
      <c r="D36" s="150" t="s">
        <v>65</v>
      </c>
      <c r="E36" s="150" t="s">
        <v>0</v>
      </c>
      <c r="F36" s="145" t="s">
        <v>69</v>
      </c>
      <c r="G36" s="150" t="s">
        <v>54</v>
      </c>
      <c r="H36" s="150" t="s">
        <v>0</v>
      </c>
      <c r="I36" s="150" t="s">
        <v>0</v>
      </c>
      <c r="J36" s="151" t="s">
        <v>0</v>
      </c>
      <c r="K36" s="13">
        <v>6</v>
      </c>
      <c r="L36" s="12" t="s">
        <v>32</v>
      </c>
      <c r="M36" s="13">
        <v>12</v>
      </c>
      <c r="N36" s="13">
        <v>0</v>
      </c>
      <c r="O36" s="14">
        <v>12</v>
      </c>
      <c r="P36" s="113">
        <f t="shared" si="73"/>
        <v>6</v>
      </c>
      <c r="Q36" s="114">
        <f t="shared" si="74"/>
        <v>0</v>
      </c>
      <c r="R36" s="114">
        <f t="shared" si="75"/>
        <v>12</v>
      </c>
      <c r="S36" s="114">
        <f t="shared" si="76"/>
        <v>0</v>
      </c>
      <c r="T36" s="93">
        <f t="shared" si="77"/>
        <v>1</v>
      </c>
      <c r="U36" t="s">
        <v>0</v>
      </c>
      <c r="V36" s="79"/>
      <c r="W36" s="76"/>
      <c r="X36" s="76"/>
      <c r="Y36" s="76"/>
      <c r="Z36" s="76"/>
      <c r="AA36" s="80"/>
      <c r="AB36" s="79"/>
      <c r="AC36" s="76"/>
      <c r="AD36" s="76">
        <v>6</v>
      </c>
      <c r="AE36" s="76"/>
      <c r="AF36" s="76"/>
      <c r="AG36" s="80"/>
      <c r="AH36" s="79"/>
      <c r="AI36" s="76"/>
      <c r="AJ36" s="76"/>
      <c r="AK36" s="76"/>
      <c r="AL36" s="76"/>
      <c r="AM36" s="80"/>
      <c r="AN36" s="79"/>
      <c r="AO36" s="76"/>
      <c r="AP36" s="76"/>
      <c r="AQ36" s="76"/>
      <c r="AR36" s="76"/>
      <c r="AS36" s="80"/>
      <c r="AT36" s="79"/>
      <c r="AU36" s="76"/>
      <c r="AV36" s="76"/>
      <c r="AW36" s="76"/>
      <c r="AX36" s="76"/>
      <c r="AY36" s="80"/>
      <c r="AZ36" s="79"/>
      <c r="BA36" s="76"/>
      <c r="BB36" s="76"/>
      <c r="BC36" s="76"/>
      <c r="BD36" s="76"/>
      <c r="BE36" s="80"/>
      <c r="BF36" s="79"/>
      <c r="BG36" s="76"/>
      <c r="BH36" s="76"/>
      <c r="BI36" s="76"/>
      <c r="BJ36" s="76"/>
      <c r="BK36" s="80"/>
      <c r="BM36" s="125">
        <f t="shared" si="78"/>
        <v>0</v>
      </c>
      <c r="BN36" s="126">
        <f t="shared" si="79"/>
        <v>6</v>
      </c>
      <c r="BO36" s="126">
        <f t="shared" si="80"/>
        <v>0</v>
      </c>
      <c r="BP36" s="126">
        <f t="shared" si="81"/>
        <v>0</v>
      </c>
      <c r="BQ36" s="126">
        <f>SUM(AT36:AY36)</f>
        <v>0</v>
      </c>
      <c r="BR36" s="126">
        <f t="shared" si="82"/>
        <v>0</v>
      </c>
      <c r="BS36" s="127">
        <f t="shared" si="83"/>
        <v>0</v>
      </c>
      <c r="BT36" s="74"/>
      <c r="BU36" s="125">
        <f t="shared" si="84"/>
        <v>0</v>
      </c>
      <c r="BV36" s="126">
        <f t="shared" si="85"/>
        <v>12</v>
      </c>
      <c r="BW36" s="126">
        <f t="shared" si="86"/>
        <v>0</v>
      </c>
      <c r="BX36" s="126">
        <f t="shared" si="87"/>
        <v>0</v>
      </c>
      <c r="BY36" s="126">
        <f t="shared" si="88"/>
        <v>0</v>
      </c>
      <c r="BZ36" s="126">
        <f t="shared" si="88"/>
        <v>0</v>
      </c>
      <c r="CA36" s="126">
        <f t="shared" si="88"/>
        <v>0</v>
      </c>
    </row>
    <row r="37" spans="1:79">
      <c r="A37" s="147" t="str">
        <f t="shared" si="5"/>
        <v>D</v>
      </c>
      <c r="B37" s="148">
        <f t="shared" si="6"/>
        <v>40000</v>
      </c>
      <c r="C37" s="149" t="s">
        <v>64</v>
      </c>
      <c r="D37" s="150" t="s">
        <v>65</v>
      </c>
      <c r="E37" s="150" t="s">
        <v>0</v>
      </c>
      <c r="F37" s="145" t="s">
        <v>70</v>
      </c>
      <c r="G37" s="150" t="s">
        <v>54</v>
      </c>
      <c r="H37" s="150" t="s">
        <v>0</v>
      </c>
      <c r="I37" s="150" t="s">
        <v>0</v>
      </c>
      <c r="J37" s="151" t="s">
        <v>0</v>
      </c>
      <c r="K37" s="13">
        <v>6</v>
      </c>
      <c r="L37" s="12" t="s">
        <v>32</v>
      </c>
      <c r="M37" s="13">
        <v>9</v>
      </c>
      <c r="N37" s="13">
        <v>0</v>
      </c>
      <c r="O37" s="14">
        <v>9</v>
      </c>
      <c r="P37" s="113">
        <f t="shared" si="73"/>
        <v>6</v>
      </c>
      <c r="Q37" s="114">
        <f t="shared" si="74"/>
        <v>0</v>
      </c>
      <c r="R37" s="114">
        <f t="shared" si="75"/>
        <v>9</v>
      </c>
      <c r="S37" s="114">
        <f t="shared" si="76"/>
        <v>0</v>
      </c>
      <c r="T37" s="93">
        <f t="shared" si="77"/>
        <v>1</v>
      </c>
      <c r="U37" t="s">
        <v>0</v>
      </c>
      <c r="V37" s="79"/>
      <c r="W37" s="76"/>
      <c r="X37" s="76">
        <v>6</v>
      </c>
      <c r="Y37" s="76"/>
      <c r="Z37" s="76"/>
      <c r="AA37" s="80"/>
      <c r="AB37" s="79"/>
      <c r="AC37" s="76"/>
      <c r="AD37" s="76"/>
      <c r="AE37" s="76"/>
      <c r="AF37" s="76"/>
      <c r="AG37" s="80"/>
      <c r="AH37" s="79"/>
      <c r="AI37" s="76"/>
      <c r="AJ37" s="76"/>
      <c r="AK37" s="76"/>
      <c r="AL37" s="76"/>
      <c r="AM37" s="80"/>
      <c r="AN37" s="79"/>
      <c r="AO37" s="76"/>
      <c r="AP37" s="76"/>
      <c r="AQ37" s="76"/>
      <c r="AR37" s="76"/>
      <c r="AS37" s="80"/>
      <c r="AT37" s="79"/>
      <c r="AU37" s="76"/>
      <c r="AV37" s="76"/>
      <c r="AW37" s="76"/>
      <c r="AX37" s="76"/>
      <c r="AY37" s="80"/>
      <c r="AZ37" s="79"/>
      <c r="BA37" s="76"/>
      <c r="BB37" s="76"/>
      <c r="BC37" s="76"/>
      <c r="BD37" s="76"/>
      <c r="BE37" s="80"/>
      <c r="BF37" s="79"/>
      <c r="BG37" s="76"/>
      <c r="BH37" s="76"/>
      <c r="BI37" s="76"/>
      <c r="BJ37" s="76"/>
      <c r="BK37" s="80"/>
      <c r="BM37" s="125">
        <f t="shared" si="78"/>
        <v>6</v>
      </c>
      <c r="BN37" s="126">
        <f t="shared" si="79"/>
        <v>0</v>
      </c>
      <c r="BO37" s="126">
        <f t="shared" si="80"/>
        <v>0</v>
      </c>
      <c r="BP37" s="126">
        <f t="shared" si="81"/>
        <v>0</v>
      </c>
      <c r="BQ37" s="126">
        <f>SUM(AT37:AY37)</f>
        <v>0</v>
      </c>
      <c r="BR37" s="126">
        <f t="shared" si="82"/>
        <v>0</v>
      </c>
      <c r="BS37" s="127">
        <f t="shared" si="83"/>
        <v>0</v>
      </c>
      <c r="BT37" s="74"/>
      <c r="BU37" s="125">
        <f t="shared" si="84"/>
        <v>9</v>
      </c>
      <c r="BV37" s="126">
        <f t="shared" si="85"/>
        <v>0</v>
      </c>
      <c r="BW37" s="126">
        <f t="shared" si="86"/>
        <v>0</v>
      </c>
      <c r="BX37" s="126">
        <f t="shared" si="87"/>
        <v>0</v>
      </c>
      <c r="BY37" s="126">
        <f t="shared" si="88"/>
        <v>0</v>
      </c>
      <c r="BZ37" s="126">
        <f t="shared" si="88"/>
        <v>0</v>
      </c>
      <c r="CA37" s="126">
        <f t="shared" si="88"/>
        <v>0</v>
      </c>
    </row>
    <row r="38" spans="1:79">
      <c r="A38" s="147" t="str">
        <f t="shared" si="5"/>
        <v>D</v>
      </c>
      <c r="B38" s="148">
        <f t="shared" si="6"/>
        <v>40000</v>
      </c>
      <c r="C38" s="149" t="s">
        <v>64</v>
      </c>
      <c r="D38" s="150" t="s">
        <v>65</v>
      </c>
      <c r="E38" s="150" t="s">
        <v>0</v>
      </c>
      <c r="F38" s="145" t="s">
        <v>71</v>
      </c>
      <c r="G38" s="150" t="s">
        <v>54</v>
      </c>
      <c r="H38" s="150" t="s">
        <v>0</v>
      </c>
      <c r="I38" s="150" t="s">
        <v>0</v>
      </c>
      <c r="J38" s="151" t="s">
        <v>0</v>
      </c>
      <c r="K38" s="13">
        <v>6</v>
      </c>
      <c r="L38" s="12" t="s">
        <v>32</v>
      </c>
      <c r="M38" s="13">
        <v>6</v>
      </c>
      <c r="N38" s="13">
        <v>0</v>
      </c>
      <c r="O38" s="14">
        <v>6</v>
      </c>
      <c r="P38" s="113">
        <f t="shared" si="73"/>
        <v>6</v>
      </c>
      <c r="Q38" s="114">
        <f t="shared" si="74"/>
        <v>0</v>
      </c>
      <c r="R38" s="114">
        <f t="shared" si="75"/>
        <v>6</v>
      </c>
      <c r="S38" s="114">
        <f t="shared" si="76"/>
        <v>0</v>
      </c>
      <c r="T38" s="93">
        <f t="shared" si="77"/>
        <v>1</v>
      </c>
      <c r="U38" t="s">
        <v>0</v>
      </c>
      <c r="V38" s="79"/>
      <c r="W38" s="76"/>
      <c r="X38" s="76"/>
      <c r="Y38" s="76"/>
      <c r="Z38" s="76"/>
      <c r="AA38" s="80"/>
      <c r="AB38" s="79">
        <v>6</v>
      </c>
      <c r="AC38" s="76"/>
      <c r="AD38" s="76"/>
      <c r="AE38" s="76"/>
      <c r="AF38" s="76"/>
      <c r="AG38" s="80"/>
      <c r="AH38" s="79"/>
      <c r="AI38" s="76"/>
      <c r="AJ38" s="76"/>
      <c r="AK38" s="76"/>
      <c r="AL38" s="76"/>
      <c r="AM38" s="80"/>
      <c r="AN38" s="79"/>
      <c r="AO38" s="76"/>
      <c r="AP38" s="76"/>
      <c r="AQ38" s="76"/>
      <c r="AR38" s="76"/>
      <c r="AS38" s="80"/>
      <c r="AT38" s="79"/>
      <c r="AU38" s="76"/>
      <c r="AV38" s="76"/>
      <c r="AW38" s="76"/>
      <c r="AX38" s="76"/>
      <c r="AY38" s="80"/>
      <c r="AZ38" s="79"/>
      <c r="BA38" s="76"/>
      <c r="BB38" s="76"/>
      <c r="BC38" s="76"/>
      <c r="BD38" s="76"/>
      <c r="BE38" s="80"/>
      <c r="BF38" s="79"/>
      <c r="BG38" s="76"/>
      <c r="BH38" s="76"/>
      <c r="BI38" s="76"/>
      <c r="BJ38" s="76"/>
      <c r="BK38" s="80"/>
      <c r="BM38" s="125">
        <f t="shared" si="78"/>
        <v>0</v>
      </c>
      <c r="BN38" s="126">
        <f t="shared" si="79"/>
        <v>6</v>
      </c>
      <c r="BO38" s="126">
        <f t="shared" si="80"/>
        <v>0</v>
      </c>
      <c r="BP38" s="126">
        <f t="shared" si="81"/>
        <v>0</v>
      </c>
      <c r="BQ38" s="126">
        <f>SUM(AT38:AY38)</f>
        <v>0</v>
      </c>
      <c r="BR38" s="126">
        <f t="shared" si="82"/>
        <v>0</v>
      </c>
      <c r="BS38" s="127">
        <f t="shared" si="83"/>
        <v>0</v>
      </c>
      <c r="BT38" s="74"/>
      <c r="BU38" s="125">
        <f t="shared" si="84"/>
        <v>0</v>
      </c>
      <c r="BV38" s="126">
        <f t="shared" si="85"/>
        <v>6</v>
      </c>
      <c r="BW38" s="126">
        <f t="shared" si="86"/>
        <v>0</v>
      </c>
      <c r="BX38" s="126">
        <f t="shared" si="87"/>
        <v>0</v>
      </c>
      <c r="BY38" s="126">
        <f t="shared" si="88"/>
        <v>0</v>
      </c>
      <c r="BZ38" s="126">
        <f t="shared" si="88"/>
        <v>0</v>
      </c>
      <c r="CA38" s="126">
        <f t="shared" si="88"/>
        <v>0</v>
      </c>
    </row>
    <row r="39" spans="1:79">
      <c r="A39" s="147" t="str">
        <f t="shared" si="5"/>
        <v>D</v>
      </c>
      <c r="B39" s="148">
        <f t="shared" si="6"/>
        <v>40000</v>
      </c>
      <c r="C39" s="149" t="s">
        <v>64</v>
      </c>
      <c r="D39" s="150" t="s">
        <v>65</v>
      </c>
      <c r="E39" s="150" t="s">
        <v>0</v>
      </c>
      <c r="F39" s="145" t="s">
        <v>72</v>
      </c>
      <c r="G39" s="150" t="s">
        <v>54</v>
      </c>
      <c r="H39" s="150" t="s">
        <v>0</v>
      </c>
      <c r="I39" s="150" t="s">
        <v>0</v>
      </c>
      <c r="J39" s="151" t="s">
        <v>0</v>
      </c>
      <c r="K39" s="13">
        <v>11.5</v>
      </c>
      <c r="L39" s="12" t="s">
        <v>67</v>
      </c>
      <c r="M39" s="13">
        <v>8.6300000000000008</v>
      </c>
      <c r="N39" s="13">
        <v>0</v>
      </c>
      <c r="O39" s="14">
        <v>8.6300000000000008</v>
      </c>
      <c r="P39" s="113">
        <f t="shared" si="73"/>
        <v>11.5</v>
      </c>
      <c r="Q39" s="114">
        <f t="shared" si="74"/>
        <v>0</v>
      </c>
      <c r="R39" s="114">
        <f t="shared" si="75"/>
        <v>8.6300000000000008</v>
      </c>
      <c r="S39" s="114">
        <f t="shared" si="76"/>
        <v>0</v>
      </c>
      <c r="T39" s="93">
        <f t="shared" si="77"/>
        <v>1</v>
      </c>
      <c r="U39" t="s">
        <v>0</v>
      </c>
      <c r="V39" s="79"/>
      <c r="W39" s="76"/>
      <c r="X39" s="76"/>
      <c r="Y39" s="76"/>
      <c r="Z39" s="76"/>
      <c r="AA39" s="80"/>
      <c r="AB39" s="79"/>
      <c r="AC39" s="76"/>
      <c r="AD39" s="76">
        <v>11</v>
      </c>
      <c r="AE39" s="76"/>
      <c r="AF39" s="76"/>
      <c r="AG39" s="80"/>
      <c r="AH39" s="79"/>
      <c r="AI39" s="76"/>
      <c r="AJ39" s="76"/>
      <c r="AK39" s="76"/>
      <c r="AL39" s="76"/>
      <c r="AM39" s="80"/>
      <c r="AN39" s="79"/>
      <c r="AO39" s="76"/>
      <c r="AP39" s="76"/>
      <c r="AQ39" s="76"/>
      <c r="AR39" s="76"/>
      <c r="AS39" s="80"/>
      <c r="AT39" s="79"/>
      <c r="AU39" s="76"/>
      <c r="AV39" s="76"/>
      <c r="AW39" s="76"/>
      <c r="AX39" s="76"/>
      <c r="AY39" s="80">
        <v>0.5</v>
      </c>
      <c r="AZ39" s="79"/>
      <c r="BA39" s="76"/>
      <c r="BB39" s="76"/>
      <c r="BC39" s="76"/>
      <c r="BD39" s="76"/>
      <c r="BE39" s="80"/>
      <c r="BF39" s="79"/>
      <c r="BG39" s="76"/>
      <c r="BH39" s="76"/>
      <c r="BI39" s="76"/>
      <c r="BJ39" s="76"/>
      <c r="BK39" s="80"/>
      <c r="BM39" s="125">
        <f t="shared" si="78"/>
        <v>0</v>
      </c>
      <c r="BN39" s="126">
        <f t="shared" si="79"/>
        <v>11</v>
      </c>
      <c r="BO39" s="126">
        <f t="shared" si="80"/>
        <v>0</v>
      </c>
      <c r="BP39" s="126">
        <f t="shared" si="81"/>
        <v>0</v>
      </c>
      <c r="BQ39" s="126">
        <f>SUM(AT39:AY39)</f>
        <v>0.5</v>
      </c>
      <c r="BR39" s="126">
        <f t="shared" si="82"/>
        <v>0</v>
      </c>
      <c r="BS39" s="127">
        <f t="shared" si="83"/>
        <v>0</v>
      </c>
      <c r="BT39" s="74"/>
      <c r="BU39" s="125">
        <f t="shared" si="84"/>
        <v>0</v>
      </c>
      <c r="BV39" s="126">
        <f t="shared" si="85"/>
        <v>8.2547826086956526</v>
      </c>
      <c r="BW39" s="126">
        <f t="shared" si="86"/>
        <v>0</v>
      </c>
      <c r="BX39" s="126">
        <f t="shared" si="87"/>
        <v>0</v>
      </c>
      <c r="BY39" s="126">
        <f t="shared" si="88"/>
        <v>0.37521739130434784</v>
      </c>
      <c r="BZ39" s="126">
        <f t="shared" si="88"/>
        <v>0</v>
      </c>
      <c r="CA39" s="126">
        <f t="shared" si="88"/>
        <v>0</v>
      </c>
    </row>
    <row r="40" spans="1:79" ht="15.75">
      <c r="A40" s="152" t="str">
        <f t="shared" si="5"/>
        <v>P</v>
      </c>
      <c r="B40" s="153">
        <f t="shared" si="6"/>
        <v>40000</v>
      </c>
      <c r="C40" s="154" t="s">
        <v>73</v>
      </c>
      <c r="D40" s="155" t="s">
        <v>74</v>
      </c>
      <c r="E40" s="155" t="s">
        <v>0</v>
      </c>
      <c r="F40" s="156" t="s">
        <v>75</v>
      </c>
      <c r="G40" s="155" t="s">
        <v>54</v>
      </c>
      <c r="H40" s="155" t="s">
        <v>0</v>
      </c>
      <c r="I40" s="155" t="s">
        <v>0</v>
      </c>
      <c r="J40" s="157" t="s">
        <v>0</v>
      </c>
      <c r="K40" s="9">
        <v>14.3</v>
      </c>
      <c r="L40" s="8" t="s">
        <v>67</v>
      </c>
      <c r="M40" s="9">
        <v>98.73</v>
      </c>
      <c r="N40" s="9">
        <v>8</v>
      </c>
      <c r="O40" s="10">
        <v>106.73</v>
      </c>
      <c r="P40" s="111"/>
      <c r="Q40" s="112"/>
      <c r="R40" s="112">
        <f>SUMIFS(R41:R$415,$C41:$C$415,$C40)</f>
        <v>106.73</v>
      </c>
      <c r="S40" s="112">
        <f>SUMIFS(S41:S$415,$C41:$C$415,$C40)</f>
        <v>0</v>
      </c>
      <c r="T40" s="92">
        <f>R40/O40</f>
        <v>1</v>
      </c>
      <c r="V40" s="77"/>
      <c r="W40" s="75"/>
      <c r="X40" s="75"/>
      <c r="Y40" s="75"/>
      <c r="Z40" s="75"/>
      <c r="AA40" s="78"/>
      <c r="AB40" s="77"/>
      <c r="AC40" s="75"/>
      <c r="AD40" s="75"/>
      <c r="AE40" s="75"/>
      <c r="AF40" s="75"/>
      <c r="AG40" s="78"/>
      <c r="AH40" s="77"/>
      <c r="AI40" s="75"/>
      <c r="AJ40" s="75"/>
      <c r="AK40" s="75"/>
      <c r="AL40" s="75"/>
      <c r="AM40" s="78"/>
      <c r="AN40" s="77"/>
      <c r="AO40" s="75"/>
      <c r="AP40" s="75"/>
      <c r="AQ40" s="75"/>
      <c r="AR40" s="75"/>
      <c r="AS40" s="78"/>
      <c r="AT40" s="77"/>
      <c r="AU40" s="75"/>
      <c r="AV40" s="75"/>
      <c r="AW40" s="75"/>
      <c r="AX40" s="75"/>
      <c r="AY40" s="78"/>
      <c r="AZ40" s="77"/>
      <c r="BA40" s="75"/>
      <c r="BB40" s="75"/>
      <c r="BC40" s="75"/>
      <c r="BD40" s="75"/>
      <c r="BE40" s="78"/>
      <c r="BF40" s="77"/>
      <c r="BG40" s="75"/>
      <c r="BH40" s="75"/>
      <c r="BI40" s="75"/>
      <c r="BJ40" s="75"/>
      <c r="BK40" s="78"/>
      <c r="BM40" s="122"/>
      <c r="BN40" s="123"/>
      <c r="BO40" s="123"/>
      <c r="BP40" s="123"/>
      <c r="BQ40" s="123"/>
      <c r="BR40" s="123"/>
      <c r="BS40" s="124"/>
      <c r="BT40" s="74"/>
      <c r="BU40" s="122"/>
      <c r="BV40" s="123"/>
      <c r="BW40" s="123"/>
      <c r="BX40" s="123"/>
      <c r="BY40" s="123"/>
      <c r="BZ40" s="123"/>
      <c r="CA40" s="123"/>
    </row>
    <row r="41" spans="1:79">
      <c r="A41" s="147" t="str">
        <f t="shared" si="5"/>
        <v>D</v>
      </c>
      <c r="B41" s="148">
        <f t="shared" si="6"/>
        <v>40000</v>
      </c>
      <c r="C41" s="149" t="s">
        <v>73</v>
      </c>
      <c r="D41" s="150" t="s">
        <v>74</v>
      </c>
      <c r="E41" s="150" t="s">
        <v>0</v>
      </c>
      <c r="F41" s="145" t="s">
        <v>68</v>
      </c>
      <c r="G41" s="150" t="s">
        <v>54</v>
      </c>
      <c r="H41" s="150" t="s">
        <v>0</v>
      </c>
      <c r="I41" s="150" t="s">
        <v>0</v>
      </c>
      <c r="J41" s="151" t="s">
        <v>0</v>
      </c>
      <c r="K41" s="13">
        <v>1</v>
      </c>
      <c r="L41" s="12" t="s">
        <v>32</v>
      </c>
      <c r="M41" s="13">
        <v>8</v>
      </c>
      <c r="N41" s="13">
        <v>0</v>
      </c>
      <c r="O41" s="14">
        <v>8</v>
      </c>
      <c r="P41" s="113">
        <f t="shared" ref="P41:P45" si="89">SUM(BM41:BS41)</f>
        <v>1</v>
      </c>
      <c r="Q41" s="114">
        <f t="shared" ref="Q41:Q45" si="90">K41-P41</f>
        <v>0</v>
      </c>
      <c r="R41" s="114">
        <f t="shared" ref="R41:R45" si="91">SUM(BU41:CA41)</f>
        <v>8</v>
      </c>
      <c r="S41" s="114">
        <f t="shared" ref="S41:S45" si="92">O41-R41</f>
        <v>0</v>
      </c>
      <c r="T41" s="93">
        <f t="shared" ref="T41:T45" si="93">R41/O41</f>
        <v>1</v>
      </c>
      <c r="U41" t="s">
        <v>0</v>
      </c>
      <c r="V41" s="79"/>
      <c r="W41" s="76">
        <v>1</v>
      </c>
      <c r="X41" s="76"/>
      <c r="Y41" s="76"/>
      <c r="Z41" s="76"/>
      <c r="AA41" s="80"/>
      <c r="AB41" s="79"/>
      <c r="AC41" s="76"/>
      <c r="AD41" s="76"/>
      <c r="AE41" s="76"/>
      <c r="AF41" s="76"/>
      <c r="AG41" s="80"/>
      <c r="AH41" s="79"/>
      <c r="AI41" s="76"/>
      <c r="AJ41" s="76"/>
      <c r="AK41" s="76"/>
      <c r="AL41" s="76"/>
      <c r="AM41" s="80"/>
      <c r="AN41" s="79"/>
      <c r="AO41" s="76"/>
      <c r="AP41" s="76"/>
      <c r="AQ41" s="76"/>
      <c r="AR41" s="76"/>
      <c r="AS41" s="80"/>
      <c r="AT41" s="79"/>
      <c r="AU41" s="76"/>
      <c r="AV41" s="76"/>
      <c r="AW41" s="76"/>
      <c r="AX41" s="76"/>
      <c r="AY41" s="80"/>
      <c r="AZ41" s="79"/>
      <c r="BA41" s="76"/>
      <c r="BB41" s="76"/>
      <c r="BC41" s="76"/>
      <c r="BD41" s="76"/>
      <c r="BE41" s="80"/>
      <c r="BF41" s="79"/>
      <c r="BG41" s="76"/>
      <c r="BH41" s="76"/>
      <c r="BI41" s="76"/>
      <c r="BJ41" s="76"/>
      <c r="BK41" s="80"/>
      <c r="BM41" s="125">
        <f t="shared" ref="BM41:BM45" si="94">SUM(V41:AA41)</f>
        <v>1</v>
      </c>
      <c r="BN41" s="126">
        <f t="shared" ref="BN41:BN45" si="95">SUM(AB41:AG41)</f>
        <v>0</v>
      </c>
      <c r="BO41" s="126">
        <f t="shared" ref="BO41:BO45" si="96">SUM(AH41:AM41)</f>
        <v>0</v>
      </c>
      <c r="BP41" s="126">
        <f t="shared" ref="BP41:BP45" si="97">SUM(AN41:AS41)</f>
        <v>0</v>
      </c>
      <c r="BQ41" s="126">
        <f>SUM(AT41:AY41)</f>
        <v>0</v>
      </c>
      <c r="BR41" s="126">
        <f t="shared" ref="BR41:BS45" si="98">SUM(AZ41:BE41)</f>
        <v>0</v>
      </c>
      <c r="BS41" s="127">
        <f t="shared" ref="BS41:BS45" si="99">SUM(BF41:BK41)</f>
        <v>0</v>
      </c>
      <c r="BT41" s="74"/>
      <c r="BU41" s="125">
        <f t="shared" ref="BU41:BU45" si="100">(BM41/$K41)*$O41</f>
        <v>8</v>
      </c>
      <c r="BV41" s="126">
        <f t="shared" ref="BV41:BV45" si="101">(BN41/$K41)*$O41</f>
        <v>0</v>
      </c>
      <c r="BW41" s="126">
        <f t="shared" ref="BW41:BW45" si="102">(BO41/$K41)*$O41</f>
        <v>0</v>
      </c>
      <c r="BX41" s="126">
        <f t="shared" ref="BX41:BX45" si="103">(BP41/$K41)*$O41</f>
        <v>0</v>
      </c>
      <c r="BY41" s="126">
        <f t="shared" ref="BY41:CA45" si="104">(BQ41/$K41)*$O41</f>
        <v>0</v>
      </c>
      <c r="BZ41" s="126">
        <f t="shared" si="104"/>
        <v>0</v>
      </c>
      <c r="CA41" s="126">
        <f t="shared" si="104"/>
        <v>0</v>
      </c>
    </row>
    <row r="42" spans="1:79">
      <c r="A42" s="147" t="str">
        <f t="shared" si="5"/>
        <v>D</v>
      </c>
      <c r="B42" s="148">
        <f t="shared" si="6"/>
        <v>40000</v>
      </c>
      <c r="C42" s="149" t="s">
        <v>73</v>
      </c>
      <c r="D42" s="150" t="s">
        <v>74</v>
      </c>
      <c r="E42" s="150" t="s">
        <v>0</v>
      </c>
      <c r="F42" s="145" t="s">
        <v>69</v>
      </c>
      <c r="G42" s="150" t="s">
        <v>54</v>
      </c>
      <c r="H42" s="150" t="s">
        <v>0</v>
      </c>
      <c r="I42" s="150" t="s">
        <v>0</v>
      </c>
      <c r="J42" s="151" t="s">
        <v>0</v>
      </c>
      <c r="K42" s="13">
        <v>8</v>
      </c>
      <c r="L42" s="12" t="s">
        <v>32</v>
      </c>
      <c r="M42" s="13">
        <v>32</v>
      </c>
      <c r="N42" s="13">
        <v>0</v>
      </c>
      <c r="O42" s="14">
        <v>32</v>
      </c>
      <c r="P42" s="113">
        <f t="shared" si="89"/>
        <v>8</v>
      </c>
      <c r="Q42" s="114">
        <f t="shared" si="90"/>
        <v>0</v>
      </c>
      <c r="R42" s="114">
        <f t="shared" si="91"/>
        <v>32</v>
      </c>
      <c r="S42" s="114">
        <f t="shared" si="92"/>
        <v>0</v>
      </c>
      <c r="T42" s="93">
        <f t="shared" si="93"/>
        <v>1</v>
      </c>
      <c r="U42" t="s">
        <v>0</v>
      </c>
      <c r="V42" s="79"/>
      <c r="W42" s="76"/>
      <c r="X42" s="76"/>
      <c r="Y42" s="76"/>
      <c r="Z42" s="76"/>
      <c r="AA42" s="80"/>
      <c r="AB42" s="79"/>
      <c r="AC42" s="76"/>
      <c r="AD42" s="76">
        <v>4</v>
      </c>
      <c r="AE42" s="76"/>
      <c r="AF42" s="76"/>
      <c r="AG42" s="80">
        <v>4</v>
      </c>
      <c r="AH42" s="79"/>
      <c r="AI42" s="76"/>
      <c r="AJ42" s="76"/>
      <c r="AK42" s="76"/>
      <c r="AL42" s="76"/>
      <c r="AM42" s="80"/>
      <c r="AN42" s="79"/>
      <c r="AO42" s="76"/>
      <c r="AP42" s="76"/>
      <c r="AQ42" s="76"/>
      <c r="AR42" s="76"/>
      <c r="AS42" s="80"/>
      <c r="AT42" s="79"/>
      <c r="AU42" s="76"/>
      <c r="AV42" s="76"/>
      <c r="AW42" s="76"/>
      <c r="AX42" s="76"/>
      <c r="AY42" s="80"/>
      <c r="AZ42" s="79"/>
      <c r="BA42" s="76"/>
      <c r="BB42" s="76"/>
      <c r="BC42" s="76"/>
      <c r="BD42" s="76"/>
      <c r="BE42" s="80"/>
      <c r="BF42" s="79"/>
      <c r="BG42" s="76"/>
      <c r="BH42" s="76"/>
      <c r="BI42" s="76"/>
      <c r="BJ42" s="76"/>
      <c r="BK42" s="80"/>
      <c r="BM42" s="125">
        <f t="shared" si="94"/>
        <v>0</v>
      </c>
      <c r="BN42" s="126">
        <f t="shared" si="95"/>
        <v>8</v>
      </c>
      <c r="BO42" s="126">
        <f t="shared" si="96"/>
        <v>0</v>
      </c>
      <c r="BP42" s="126">
        <f t="shared" si="97"/>
        <v>0</v>
      </c>
      <c r="BQ42" s="126">
        <f>SUM(AT42:AY42)</f>
        <v>0</v>
      </c>
      <c r="BR42" s="126">
        <f t="shared" si="98"/>
        <v>0</v>
      </c>
      <c r="BS42" s="127">
        <f t="shared" si="99"/>
        <v>0</v>
      </c>
      <c r="BT42" s="74"/>
      <c r="BU42" s="125">
        <f t="shared" si="100"/>
        <v>0</v>
      </c>
      <c r="BV42" s="126">
        <f t="shared" si="101"/>
        <v>32</v>
      </c>
      <c r="BW42" s="126">
        <f t="shared" si="102"/>
        <v>0</v>
      </c>
      <c r="BX42" s="126">
        <f t="shared" si="103"/>
        <v>0</v>
      </c>
      <c r="BY42" s="126">
        <f t="shared" si="104"/>
        <v>0</v>
      </c>
      <c r="BZ42" s="126">
        <f t="shared" si="104"/>
        <v>0</v>
      </c>
      <c r="CA42" s="126">
        <f t="shared" si="104"/>
        <v>0</v>
      </c>
    </row>
    <row r="43" spans="1:79">
      <c r="A43" s="147" t="str">
        <f t="shared" si="5"/>
        <v>D</v>
      </c>
      <c r="B43" s="148">
        <f t="shared" si="6"/>
        <v>40000</v>
      </c>
      <c r="C43" s="149" t="s">
        <v>73</v>
      </c>
      <c r="D43" s="150" t="s">
        <v>74</v>
      </c>
      <c r="E43" s="150" t="s">
        <v>0</v>
      </c>
      <c r="F43" s="145" t="s">
        <v>70</v>
      </c>
      <c r="G43" s="150" t="s">
        <v>54</v>
      </c>
      <c r="H43" s="150" t="s">
        <v>0</v>
      </c>
      <c r="I43" s="150" t="s">
        <v>0</v>
      </c>
      <c r="J43" s="151" t="s">
        <v>0</v>
      </c>
      <c r="K43" s="13">
        <v>8</v>
      </c>
      <c r="L43" s="12" t="s">
        <v>32</v>
      </c>
      <c r="M43" s="13">
        <v>32</v>
      </c>
      <c r="N43" s="13">
        <v>0</v>
      </c>
      <c r="O43" s="14">
        <v>32</v>
      </c>
      <c r="P43" s="113">
        <f t="shared" si="89"/>
        <v>8</v>
      </c>
      <c r="Q43" s="114">
        <f t="shared" si="90"/>
        <v>0</v>
      </c>
      <c r="R43" s="114">
        <f t="shared" si="91"/>
        <v>32</v>
      </c>
      <c r="S43" s="114">
        <f t="shared" si="92"/>
        <v>0</v>
      </c>
      <c r="T43" s="93">
        <f t="shared" si="93"/>
        <v>1</v>
      </c>
      <c r="U43" t="s">
        <v>0</v>
      </c>
      <c r="V43" s="79"/>
      <c r="W43" s="76"/>
      <c r="X43" s="76">
        <v>8</v>
      </c>
      <c r="Y43" s="76"/>
      <c r="Z43" s="76"/>
      <c r="AA43" s="80"/>
      <c r="AB43" s="79"/>
      <c r="AC43" s="76"/>
      <c r="AD43" s="76"/>
      <c r="AE43" s="76"/>
      <c r="AF43" s="76"/>
      <c r="AG43" s="80"/>
      <c r="AH43" s="79"/>
      <c r="AI43" s="76"/>
      <c r="AJ43" s="76"/>
      <c r="AK43" s="76"/>
      <c r="AL43" s="76"/>
      <c r="AM43" s="80"/>
      <c r="AN43" s="79"/>
      <c r="AO43" s="76"/>
      <c r="AP43" s="76"/>
      <c r="AQ43" s="76"/>
      <c r="AR43" s="76"/>
      <c r="AS43" s="80"/>
      <c r="AT43" s="79"/>
      <c r="AU43" s="76"/>
      <c r="AV43" s="76"/>
      <c r="AW43" s="76"/>
      <c r="AX43" s="76"/>
      <c r="AY43" s="80"/>
      <c r="AZ43" s="79"/>
      <c r="BA43" s="76"/>
      <c r="BB43" s="76"/>
      <c r="BC43" s="76"/>
      <c r="BD43" s="76"/>
      <c r="BE43" s="80"/>
      <c r="BF43" s="79"/>
      <c r="BG43" s="76"/>
      <c r="BH43" s="76"/>
      <c r="BI43" s="76"/>
      <c r="BJ43" s="76"/>
      <c r="BK43" s="80"/>
      <c r="BM43" s="125">
        <f t="shared" si="94"/>
        <v>8</v>
      </c>
      <c r="BN43" s="126">
        <f t="shared" si="95"/>
        <v>0</v>
      </c>
      <c r="BO43" s="126">
        <f t="shared" si="96"/>
        <v>0</v>
      </c>
      <c r="BP43" s="126">
        <f t="shared" si="97"/>
        <v>0</v>
      </c>
      <c r="BQ43" s="126">
        <f>SUM(AT43:AY43)</f>
        <v>0</v>
      </c>
      <c r="BR43" s="126">
        <f t="shared" si="98"/>
        <v>0</v>
      </c>
      <c r="BS43" s="127">
        <f t="shared" si="99"/>
        <v>0</v>
      </c>
      <c r="BT43" s="74"/>
      <c r="BU43" s="125">
        <f t="shared" si="100"/>
        <v>32</v>
      </c>
      <c r="BV43" s="126">
        <f t="shared" si="101"/>
        <v>0</v>
      </c>
      <c r="BW43" s="126">
        <f t="shared" si="102"/>
        <v>0</v>
      </c>
      <c r="BX43" s="126">
        <f t="shared" si="103"/>
        <v>0</v>
      </c>
      <c r="BY43" s="126">
        <f t="shared" si="104"/>
        <v>0</v>
      </c>
      <c r="BZ43" s="126">
        <f t="shared" si="104"/>
        <v>0</v>
      </c>
      <c r="CA43" s="126">
        <f t="shared" si="104"/>
        <v>0</v>
      </c>
    </row>
    <row r="44" spans="1:79">
      <c r="A44" s="147" t="str">
        <f t="shared" si="5"/>
        <v>D</v>
      </c>
      <c r="B44" s="148">
        <f t="shared" si="6"/>
        <v>40000</v>
      </c>
      <c r="C44" s="149" t="s">
        <v>73</v>
      </c>
      <c r="D44" s="150" t="s">
        <v>74</v>
      </c>
      <c r="E44" s="150" t="s">
        <v>0</v>
      </c>
      <c r="F44" s="145" t="s">
        <v>71</v>
      </c>
      <c r="G44" s="150" t="s">
        <v>54</v>
      </c>
      <c r="H44" s="150" t="s">
        <v>0</v>
      </c>
      <c r="I44" s="150" t="s">
        <v>0</v>
      </c>
      <c r="J44" s="151" t="s">
        <v>0</v>
      </c>
      <c r="K44" s="13">
        <v>8</v>
      </c>
      <c r="L44" s="12" t="s">
        <v>32</v>
      </c>
      <c r="M44" s="13">
        <v>16</v>
      </c>
      <c r="N44" s="13">
        <v>8</v>
      </c>
      <c r="O44" s="14">
        <v>24</v>
      </c>
      <c r="P44" s="113">
        <f t="shared" si="89"/>
        <v>8</v>
      </c>
      <c r="Q44" s="114">
        <f t="shared" si="90"/>
        <v>0</v>
      </c>
      <c r="R44" s="114">
        <f t="shared" si="91"/>
        <v>24</v>
      </c>
      <c r="S44" s="114">
        <f t="shared" si="92"/>
        <v>0</v>
      </c>
      <c r="T44" s="93">
        <f t="shared" si="93"/>
        <v>1</v>
      </c>
      <c r="U44" t="s">
        <v>0</v>
      </c>
      <c r="V44" s="79"/>
      <c r="W44" s="76"/>
      <c r="X44" s="76"/>
      <c r="Y44" s="76"/>
      <c r="Z44" s="76"/>
      <c r="AA44" s="80"/>
      <c r="AB44" s="79">
        <v>8</v>
      </c>
      <c r="AC44" s="76"/>
      <c r="AD44" s="76"/>
      <c r="AE44" s="76"/>
      <c r="AF44" s="76"/>
      <c r="AG44" s="80"/>
      <c r="AH44" s="79"/>
      <c r="AI44" s="76"/>
      <c r="AJ44" s="76"/>
      <c r="AK44" s="76"/>
      <c r="AL44" s="76"/>
      <c r="AM44" s="80"/>
      <c r="AN44" s="79"/>
      <c r="AO44" s="76"/>
      <c r="AP44" s="76"/>
      <c r="AQ44" s="76"/>
      <c r="AR44" s="76"/>
      <c r="AS44" s="80"/>
      <c r="AT44" s="79"/>
      <c r="AU44" s="76"/>
      <c r="AV44" s="76"/>
      <c r="AW44" s="76"/>
      <c r="AX44" s="76"/>
      <c r="AY44" s="80"/>
      <c r="AZ44" s="79"/>
      <c r="BA44" s="76"/>
      <c r="BB44" s="76"/>
      <c r="BC44" s="76"/>
      <c r="BD44" s="76"/>
      <c r="BE44" s="80"/>
      <c r="BF44" s="79"/>
      <c r="BG44" s="76"/>
      <c r="BH44" s="76"/>
      <c r="BI44" s="76"/>
      <c r="BJ44" s="76"/>
      <c r="BK44" s="80"/>
      <c r="BM44" s="125">
        <f t="shared" si="94"/>
        <v>0</v>
      </c>
      <c r="BN44" s="126">
        <f t="shared" si="95"/>
        <v>8</v>
      </c>
      <c r="BO44" s="126">
        <f t="shared" si="96"/>
        <v>0</v>
      </c>
      <c r="BP44" s="126">
        <f t="shared" si="97"/>
        <v>0</v>
      </c>
      <c r="BQ44" s="126">
        <f>SUM(AT44:AY44)</f>
        <v>0</v>
      </c>
      <c r="BR44" s="126">
        <f t="shared" si="98"/>
        <v>0</v>
      </c>
      <c r="BS44" s="127">
        <f t="shared" si="99"/>
        <v>0</v>
      </c>
      <c r="BT44" s="74"/>
      <c r="BU44" s="125">
        <f t="shared" si="100"/>
        <v>0</v>
      </c>
      <c r="BV44" s="126">
        <f t="shared" si="101"/>
        <v>24</v>
      </c>
      <c r="BW44" s="126">
        <f t="shared" si="102"/>
        <v>0</v>
      </c>
      <c r="BX44" s="126">
        <f t="shared" si="103"/>
        <v>0</v>
      </c>
      <c r="BY44" s="126">
        <f t="shared" si="104"/>
        <v>0</v>
      </c>
      <c r="BZ44" s="126">
        <f t="shared" si="104"/>
        <v>0</v>
      </c>
      <c r="CA44" s="126">
        <f t="shared" si="104"/>
        <v>0</v>
      </c>
    </row>
    <row r="45" spans="1:79">
      <c r="A45" s="147" t="str">
        <f t="shared" si="5"/>
        <v>D</v>
      </c>
      <c r="B45" s="148">
        <f t="shared" si="6"/>
        <v>40000</v>
      </c>
      <c r="C45" s="149" t="s">
        <v>73</v>
      </c>
      <c r="D45" s="150" t="s">
        <v>74</v>
      </c>
      <c r="E45" s="150" t="s">
        <v>0</v>
      </c>
      <c r="F45" s="145" t="s">
        <v>72</v>
      </c>
      <c r="G45" s="150" t="s">
        <v>54</v>
      </c>
      <c r="H45" s="150" t="s">
        <v>0</v>
      </c>
      <c r="I45" s="150" t="s">
        <v>0</v>
      </c>
      <c r="J45" s="151" t="s">
        <v>0</v>
      </c>
      <c r="K45" s="13">
        <v>14.3</v>
      </c>
      <c r="L45" s="12" t="s">
        <v>67</v>
      </c>
      <c r="M45" s="13">
        <v>10.73</v>
      </c>
      <c r="N45" s="13">
        <v>0</v>
      </c>
      <c r="O45" s="14">
        <v>10.73</v>
      </c>
      <c r="P45" s="113">
        <f t="shared" si="89"/>
        <v>14.3</v>
      </c>
      <c r="Q45" s="114">
        <f t="shared" si="90"/>
        <v>0</v>
      </c>
      <c r="R45" s="114">
        <f t="shared" si="91"/>
        <v>10.73</v>
      </c>
      <c r="S45" s="114">
        <f t="shared" si="92"/>
        <v>0</v>
      </c>
      <c r="T45" s="93">
        <f t="shared" si="93"/>
        <v>1</v>
      </c>
      <c r="U45" t="s">
        <v>0</v>
      </c>
      <c r="V45" s="79"/>
      <c r="W45" s="76"/>
      <c r="X45" s="76"/>
      <c r="Y45" s="76"/>
      <c r="Z45" s="76"/>
      <c r="AA45" s="80"/>
      <c r="AB45" s="79"/>
      <c r="AC45" s="76"/>
      <c r="AD45" s="76"/>
      <c r="AE45" s="76"/>
      <c r="AF45" s="76"/>
      <c r="AG45" s="80">
        <v>10</v>
      </c>
      <c r="AH45" s="79"/>
      <c r="AI45" s="76"/>
      <c r="AJ45" s="76"/>
      <c r="AK45" s="76"/>
      <c r="AL45" s="76"/>
      <c r="AM45" s="80"/>
      <c r="AN45" s="79"/>
      <c r="AO45" s="76"/>
      <c r="AP45" s="76"/>
      <c r="AQ45" s="76"/>
      <c r="AR45" s="76"/>
      <c r="AS45" s="80">
        <v>4.3</v>
      </c>
      <c r="AT45" s="79"/>
      <c r="AU45" s="76"/>
      <c r="AV45" s="76"/>
      <c r="AW45" s="76"/>
      <c r="AX45" s="76"/>
      <c r="AY45" s="80"/>
      <c r="AZ45" s="79"/>
      <c r="BA45" s="76"/>
      <c r="BB45" s="76"/>
      <c r="BC45" s="76"/>
      <c r="BD45" s="76"/>
      <c r="BE45" s="80"/>
      <c r="BF45" s="79"/>
      <c r="BG45" s="76"/>
      <c r="BH45" s="76"/>
      <c r="BI45" s="76"/>
      <c r="BJ45" s="76"/>
      <c r="BK45" s="80"/>
      <c r="BM45" s="125">
        <f t="shared" si="94"/>
        <v>0</v>
      </c>
      <c r="BN45" s="126">
        <f t="shared" si="95"/>
        <v>10</v>
      </c>
      <c r="BO45" s="126">
        <f t="shared" si="96"/>
        <v>0</v>
      </c>
      <c r="BP45" s="126">
        <f t="shared" si="97"/>
        <v>4.3</v>
      </c>
      <c r="BQ45" s="126">
        <f>SUM(AT45:AY45)</f>
        <v>0</v>
      </c>
      <c r="BR45" s="126">
        <f t="shared" si="98"/>
        <v>0</v>
      </c>
      <c r="BS45" s="127">
        <f t="shared" si="99"/>
        <v>0</v>
      </c>
      <c r="BT45" s="74"/>
      <c r="BU45" s="125">
        <f t="shared" si="100"/>
        <v>0</v>
      </c>
      <c r="BV45" s="126">
        <f t="shared" si="101"/>
        <v>7.5034965034965033</v>
      </c>
      <c r="BW45" s="126">
        <f t="shared" si="102"/>
        <v>0</v>
      </c>
      <c r="BX45" s="126">
        <f t="shared" si="103"/>
        <v>3.2265034965034962</v>
      </c>
      <c r="BY45" s="126">
        <f t="shared" si="104"/>
        <v>0</v>
      </c>
      <c r="BZ45" s="126">
        <f t="shared" si="104"/>
        <v>0</v>
      </c>
      <c r="CA45" s="126">
        <f t="shared" si="104"/>
        <v>0</v>
      </c>
    </row>
    <row r="46" spans="1:79" ht="15.75">
      <c r="A46" s="152" t="str">
        <f t="shared" si="5"/>
        <v>P</v>
      </c>
      <c r="B46" s="153">
        <f t="shared" si="6"/>
        <v>40000</v>
      </c>
      <c r="C46" s="154" t="s">
        <v>76</v>
      </c>
      <c r="D46" s="155" t="s">
        <v>77</v>
      </c>
      <c r="E46" s="155" t="s">
        <v>0</v>
      </c>
      <c r="F46" s="156" t="s">
        <v>59</v>
      </c>
      <c r="G46" s="155" t="s">
        <v>0</v>
      </c>
      <c r="H46" s="155" t="s">
        <v>0</v>
      </c>
      <c r="I46" s="155" t="s">
        <v>0</v>
      </c>
      <c r="J46" s="157" t="s">
        <v>0</v>
      </c>
      <c r="K46" s="9">
        <v>18</v>
      </c>
      <c r="L46" s="8" t="s">
        <v>67</v>
      </c>
      <c r="M46" s="9">
        <v>120.5</v>
      </c>
      <c r="N46" s="9">
        <v>6</v>
      </c>
      <c r="O46" s="10">
        <v>126.5</v>
      </c>
      <c r="P46" s="111"/>
      <c r="Q46" s="112"/>
      <c r="R46" s="112">
        <f>SUMIFS(R47:R$415,$C47:$C$415,$C46)</f>
        <v>126.5</v>
      </c>
      <c r="S46" s="112">
        <f>SUMIFS(S47:S$415,$C47:$C$415,$C46)</f>
        <v>0</v>
      </c>
      <c r="T46" s="92">
        <f>R46/O46</f>
        <v>1</v>
      </c>
      <c r="V46" s="77"/>
      <c r="W46" s="75"/>
      <c r="X46" s="75"/>
      <c r="Y46" s="75"/>
      <c r="Z46" s="75"/>
      <c r="AA46" s="78"/>
      <c r="AB46" s="77"/>
      <c r="AC46" s="75"/>
      <c r="AD46" s="75"/>
      <c r="AE46" s="75"/>
      <c r="AF46" s="75"/>
      <c r="AG46" s="78"/>
      <c r="AH46" s="77"/>
      <c r="AI46" s="75"/>
      <c r="AJ46" s="75"/>
      <c r="AK46" s="75"/>
      <c r="AL46" s="75"/>
      <c r="AM46" s="78"/>
      <c r="AN46" s="77"/>
      <c r="AO46" s="75"/>
      <c r="AP46" s="75"/>
      <c r="AQ46" s="75"/>
      <c r="AR46" s="75"/>
      <c r="AS46" s="78"/>
      <c r="AT46" s="77"/>
      <c r="AU46" s="75"/>
      <c r="AV46" s="75"/>
      <c r="AW46" s="75"/>
      <c r="AX46" s="75"/>
      <c r="AY46" s="78"/>
      <c r="AZ46" s="77"/>
      <c r="BA46" s="75"/>
      <c r="BB46" s="75"/>
      <c r="BC46" s="75"/>
      <c r="BD46" s="75"/>
      <c r="BE46" s="78"/>
      <c r="BF46" s="77"/>
      <c r="BG46" s="75"/>
      <c r="BH46" s="75"/>
      <c r="BI46" s="75"/>
      <c r="BJ46" s="75"/>
      <c r="BK46" s="78"/>
      <c r="BM46" s="122"/>
      <c r="BN46" s="123"/>
      <c r="BO46" s="123"/>
      <c r="BP46" s="123"/>
      <c r="BQ46" s="123"/>
      <c r="BR46" s="123"/>
      <c r="BS46" s="124"/>
      <c r="BT46" s="74"/>
      <c r="BU46" s="122"/>
      <c r="BV46" s="123"/>
      <c r="BW46" s="123"/>
      <c r="BX46" s="123"/>
      <c r="BY46" s="123"/>
      <c r="BZ46" s="123"/>
      <c r="CA46" s="123"/>
    </row>
    <row r="47" spans="1:79">
      <c r="A47" s="147" t="str">
        <f t="shared" si="5"/>
        <v>D</v>
      </c>
      <c r="B47" s="148">
        <f t="shared" si="6"/>
        <v>40000</v>
      </c>
      <c r="C47" s="149" t="s">
        <v>76</v>
      </c>
      <c r="D47" s="150" t="s">
        <v>77</v>
      </c>
      <c r="E47" s="150" t="s">
        <v>0</v>
      </c>
      <c r="F47" s="145" t="s">
        <v>68</v>
      </c>
      <c r="G47" s="150" t="s">
        <v>0</v>
      </c>
      <c r="H47" s="150" t="s">
        <v>0</v>
      </c>
      <c r="I47" s="150" t="s">
        <v>0</v>
      </c>
      <c r="J47" s="151" t="s">
        <v>0</v>
      </c>
      <c r="K47" s="13">
        <v>1</v>
      </c>
      <c r="L47" s="12" t="s">
        <v>32</v>
      </c>
      <c r="M47" s="13">
        <v>8</v>
      </c>
      <c r="N47" s="13">
        <v>0</v>
      </c>
      <c r="O47" s="14">
        <v>8</v>
      </c>
      <c r="P47" s="113">
        <f t="shared" ref="P47:P55" si="105">SUM(BM47:BS47)</f>
        <v>1</v>
      </c>
      <c r="Q47" s="114">
        <f t="shared" ref="Q47:Q55" si="106">K47-P47</f>
        <v>0</v>
      </c>
      <c r="R47" s="114">
        <f t="shared" ref="R47:R55" si="107">SUM(BU47:CA47)</f>
        <v>8</v>
      </c>
      <c r="S47" s="114">
        <f t="shared" ref="S47:S55" si="108">O47-R47</f>
        <v>0</v>
      </c>
      <c r="T47" s="93">
        <f t="shared" ref="T47:T55" si="109">R47/O47</f>
        <v>1</v>
      </c>
      <c r="U47" t="s">
        <v>0</v>
      </c>
      <c r="V47" s="79"/>
      <c r="W47" s="76">
        <v>1</v>
      </c>
      <c r="X47" s="76"/>
      <c r="Y47" s="76"/>
      <c r="Z47" s="76"/>
      <c r="AA47" s="80"/>
      <c r="AB47" s="79"/>
      <c r="AC47" s="76"/>
      <c r="AD47" s="76"/>
      <c r="AE47" s="76"/>
      <c r="AF47" s="76"/>
      <c r="AG47" s="80"/>
      <c r="AH47" s="79"/>
      <c r="AI47" s="76"/>
      <c r="AJ47" s="76"/>
      <c r="AK47" s="76"/>
      <c r="AL47" s="76"/>
      <c r="AM47" s="80"/>
      <c r="AN47" s="79"/>
      <c r="AO47" s="76"/>
      <c r="AP47" s="76"/>
      <c r="AQ47" s="76"/>
      <c r="AR47" s="76"/>
      <c r="AS47" s="80"/>
      <c r="AT47" s="79"/>
      <c r="AU47" s="76"/>
      <c r="AV47" s="76"/>
      <c r="AW47" s="76"/>
      <c r="AX47" s="76"/>
      <c r="AY47" s="80"/>
      <c r="AZ47" s="79"/>
      <c r="BA47" s="76"/>
      <c r="BB47" s="76"/>
      <c r="BC47" s="76"/>
      <c r="BD47" s="76"/>
      <c r="BE47" s="80"/>
      <c r="BF47" s="79"/>
      <c r="BG47" s="76"/>
      <c r="BH47" s="76"/>
      <c r="BI47" s="76"/>
      <c r="BJ47" s="76"/>
      <c r="BK47" s="80"/>
      <c r="BM47" s="125">
        <f t="shared" ref="BM47:BM55" si="110">SUM(V47:AA47)</f>
        <v>1</v>
      </c>
      <c r="BN47" s="126">
        <f t="shared" ref="BN47:BN55" si="111">SUM(AB47:AG47)</f>
        <v>0</v>
      </c>
      <c r="BO47" s="126">
        <f t="shared" ref="BO47:BO55" si="112">SUM(AH47:AM47)</f>
        <v>0</v>
      </c>
      <c r="BP47" s="126">
        <f t="shared" ref="BP47:BP55" si="113">SUM(AN47:AS47)</f>
        <v>0</v>
      </c>
      <c r="BQ47" s="126">
        <f>SUM(AT47:AY47)</f>
        <v>0</v>
      </c>
      <c r="BR47" s="126">
        <f t="shared" ref="BR47:BS55" si="114">SUM(AZ47:BE47)</f>
        <v>0</v>
      </c>
      <c r="BS47" s="127">
        <f t="shared" ref="BS47:BS55" si="115">SUM(BF47:BK47)</f>
        <v>0</v>
      </c>
      <c r="BT47" s="74"/>
      <c r="BU47" s="125">
        <f t="shared" ref="BU47:BU55" si="116">(BM47/$K47)*$O47</f>
        <v>8</v>
      </c>
      <c r="BV47" s="126">
        <f t="shared" ref="BV47:BV55" si="117">(BN47/$K47)*$O47</f>
        <v>0</v>
      </c>
      <c r="BW47" s="126">
        <f t="shared" ref="BW47:BW55" si="118">(BO47/$K47)*$O47</f>
        <v>0</v>
      </c>
      <c r="BX47" s="126">
        <f t="shared" ref="BX47:BX55" si="119">(BP47/$K47)*$O47</f>
        <v>0</v>
      </c>
      <c r="BY47" s="126">
        <f t="shared" ref="BY47:CA55" si="120">(BQ47/$K47)*$O47</f>
        <v>0</v>
      </c>
      <c r="BZ47" s="126">
        <f t="shared" si="120"/>
        <v>0</v>
      </c>
      <c r="CA47" s="126">
        <f t="shared" si="120"/>
        <v>0</v>
      </c>
    </row>
    <row r="48" spans="1:79">
      <c r="A48" s="147" t="str">
        <f t="shared" si="5"/>
        <v>D</v>
      </c>
      <c r="B48" s="148">
        <f t="shared" si="6"/>
        <v>40000</v>
      </c>
      <c r="C48" s="149" t="s">
        <v>76</v>
      </c>
      <c r="D48" s="150" t="s">
        <v>77</v>
      </c>
      <c r="E48" s="150" t="s">
        <v>0</v>
      </c>
      <c r="F48" s="145" t="s">
        <v>70</v>
      </c>
      <c r="G48" s="150" t="s">
        <v>0</v>
      </c>
      <c r="H48" s="150" t="s">
        <v>0</v>
      </c>
      <c r="I48" s="150" t="s">
        <v>0</v>
      </c>
      <c r="J48" s="151" t="s">
        <v>0</v>
      </c>
      <c r="K48" s="13">
        <v>4</v>
      </c>
      <c r="L48" s="12" t="s">
        <v>32</v>
      </c>
      <c r="M48" s="13">
        <v>18</v>
      </c>
      <c r="N48" s="13">
        <v>0</v>
      </c>
      <c r="O48" s="14">
        <v>18</v>
      </c>
      <c r="P48" s="113">
        <f t="shared" si="105"/>
        <v>4</v>
      </c>
      <c r="Q48" s="114">
        <f t="shared" si="106"/>
        <v>0</v>
      </c>
      <c r="R48" s="114">
        <f t="shared" si="107"/>
        <v>18</v>
      </c>
      <c r="S48" s="114">
        <f t="shared" si="108"/>
        <v>0</v>
      </c>
      <c r="T48" s="93">
        <f t="shared" si="109"/>
        <v>1</v>
      </c>
      <c r="U48" t="s">
        <v>0</v>
      </c>
      <c r="V48" s="79"/>
      <c r="W48" s="76"/>
      <c r="X48" s="76">
        <v>4</v>
      </c>
      <c r="Y48" s="76"/>
      <c r="Z48" s="76"/>
      <c r="AA48" s="80"/>
      <c r="AB48" s="79"/>
      <c r="AC48" s="76"/>
      <c r="AD48" s="76"/>
      <c r="AE48" s="76"/>
      <c r="AF48" s="76"/>
      <c r="AG48" s="80"/>
      <c r="AH48" s="79"/>
      <c r="AI48" s="76"/>
      <c r="AJ48" s="76"/>
      <c r="AK48" s="76"/>
      <c r="AL48" s="76"/>
      <c r="AM48" s="80"/>
      <c r="AN48" s="79"/>
      <c r="AO48" s="76"/>
      <c r="AP48" s="76"/>
      <c r="AQ48" s="76"/>
      <c r="AR48" s="76"/>
      <c r="AS48" s="80"/>
      <c r="AT48" s="79"/>
      <c r="AU48" s="76"/>
      <c r="AV48" s="76"/>
      <c r="AW48" s="76"/>
      <c r="AX48" s="76"/>
      <c r="AY48" s="80"/>
      <c r="AZ48" s="79"/>
      <c r="BA48" s="76"/>
      <c r="BB48" s="76"/>
      <c r="BC48" s="76"/>
      <c r="BD48" s="76"/>
      <c r="BE48" s="80"/>
      <c r="BF48" s="79"/>
      <c r="BG48" s="76"/>
      <c r="BH48" s="76"/>
      <c r="BI48" s="76"/>
      <c r="BJ48" s="76"/>
      <c r="BK48" s="80"/>
      <c r="BM48" s="125">
        <f t="shared" si="110"/>
        <v>4</v>
      </c>
      <c r="BN48" s="126">
        <f t="shared" si="111"/>
        <v>0</v>
      </c>
      <c r="BO48" s="126">
        <f t="shared" si="112"/>
        <v>0</v>
      </c>
      <c r="BP48" s="126">
        <f t="shared" si="113"/>
        <v>0</v>
      </c>
      <c r="BQ48" s="126">
        <f>SUM(AT48:AY48)</f>
        <v>0</v>
      </c>
      <c r="BR48" s="126">
        <f t="shared" si="114"/>
        <v>0</v>
      </c>
      <c r="BS48" s="127">
        <f t="shared" si="115"/>
        <v>0</v>
      </c>
      <c r="BT48" s="74"/>
      <c r="BU48" s="125">
        <f t="shared" si="116"/>
        <v>18</v>
      </c>
      <c r="BV48" s="126">
        <f t="shared" si="117"/>
        <v>0</v>
      </c>
      <c r="BW48" s="126">
        <f t="shared" si="118"/>
        <v>0</v>
      </c>
      <c r="BX48" s="126">
        <f t="shared" si="119"/>
        <v>0</v>
      </c>
      <c r="BY48" s="126">
        <f t="shared" si="120"/>
        <v>0</v>
      </c>
      <c r="BZ48" s="126">
        <f t="shared" si="120"/>
        <v>0</v>
      </c>
      <c r="CA48" s="126">
        <f t="shared" si="120"/>
        <v>0</v>
      </c>
    </row>
    <row r="49" spans="1:79">
      <c r="A49" s="147" t="str">
        <f t="shared" si="5"/>
        <v>D</v>
      </c>
      <c r="B49" s="148">
        <f t="shared" si="6"/>
        <v>40000</v>
      </c>
      <c r="C49" s="149" t="s">
        <v>76</v>
      </c>
      <c r="D49" s="150" t="s">
        <v>77</v>
      </c>
      <c r="E49" s="150" t="s">
        <v>0</v>
      </c>
      <c r="F49" s="145" t="s">
        <v>71</v>
      </c>
      <c r="G49" s="150" t="s">
        <v>0</v>
      </c>
      <c r="H49" s="150" t="s">
        <v>0</v>
      </c>
      <c r="I49" s="150" t="s">
        <v>0</v>
      </c>
      <c r="J49" s="151" t="s">
        <v>0</v>
      </c>
      <c r="K49" s="13">
        <v>4</v>
      </c>
      <c r="L49" s="12" t="s">
        <v>32</v>
      </c>
      <c r="M49" s="13">
        <v>12</v>
      </c>
      <c r="N49" s="13">
        <v>0</v>
      </c>
      <c r="O49" s="14">
        <v>12</v>
      </c>
      <c r="P49" s="113">
        <f t="shared" si="105"/>
        <v>4</v>
      </c>
      <c r="Q49" s="114">
        <f t="shared" si="106"/>
        <v>0</v>
      </c>
      <c r="R49" s="114">
        <f t="shared" si="107"/>
        <v>12</v>
      </c>
      <c r="S49" s="114">
        <f t="shared" si="108"/>
        <v>0</v>
      </c>
      <c r="T49" s="93">
        <f t="shared" si="109"/>
        <v>1</v>
      </c>
      <c r="U49" t="s">
        <v>0</v>
      </c>
      <c r="V49" s="79"/>
      <c r="W49" s="76"/>
      <c r="X49" s="76"/>
      <c r="Y49" s="76"/>
      <c r="Z49" s="76"/>
      <c r="AA49" s="80"/>
      <c r="AB49" s="79"/>
      <c r="AC49" s="76">
        <v>4</v>
      </c>
      <c r="AD49" s="76"/>
      <c r="AE49" s="76"/>
      <c r="AF49" s="76"/>
      <c r="AG49" s="80"/>
      <c r="AH49" s="79"/>
      <c r="AI49" s="76"/>
      <c r="AJ49" s="76"/>
      <c r="AK49" s="76"/>
      <c r="AL49" s="76"/>
      <c r="AM49" s="80"/>
      <c r="AN49" s="79"/>
      <c r="AO49" s="76"/>
      <c r="AP49" s="76"/>
      <c r="AQ49" s="76"/>
      <c r="AR49" s="76"/>
      <c r="AS49" s="80"/>
      <c r="AT49" s="79"/>
      <c r="AU49" s="76"/>
      <c r="AV49" s="76"/>
      <c r="AW49" s="76"/>
      <c r="AX49" s="76"/>
      <c r="AY49" s="80"/>
      <c r="AZ49" s="79"/>
      <c r="BA49" s="76"/>
      <c r="BB49" s="76"/>
      <c r="BC49" s="76"/>
      <c r="BD49" s="76"/>
      <c r="BE49" s="80"/>
      <c r="BF49" s="79"/>
      <c r="BG49" s="76"/>
      <c r="BH49" s="76"/>
      <c r="BI49" s="76"/>
      <c r="BJ49" s="76"/>
      <c r="BK49" s="80"/>
      <c r="BM49" s="125">
        <f t="shared" si="110"/>
        <v>0</v>
      </c>
      <c r="BN49" s="126">
        <f t="shared" si="111"/>
        <v>4</v>
      </c>
      <c r="BO49" s="126">
        <f t="shared" si="112"/>
        <v>0</v>
      </c>
      <c r="BP49" s="126">
        <f t="shared" si="113"/>
        <v>0</v>
      </c>
      <c r="BQ49" s="126">
        <f>SUM(AT49:AY49)</f>
        <v>0</v>
      </c>
      <c r="BR49" s="126">
        <f t="shared" si="114"/>
        <v>0</v>
      </c>
      <c r="BS49" s="127">
        <f t="shared" si="115"/>
        <v>0</v>
      </c>
      <c r="BT49" s="74"/>
      <c r="BU49" s="125">
        <f t="shared" si="116"/>
        <v>0</v>
      </c>
      <c r="BV49" s="126">
        <f t="shared" si="117"/>
        <v>12</v>
      </c>
      <c r="BW49" s="126">
        <f t="shared" si="118"/>
        <v>0</v>
      </c>
      <c r="BX49" s="126">
        <f t="shared" si="119"/>
        <v>0</v>
      </c>
      <c r="BY49" s="126">
        <f t="shared" si="120"/>
        <v>0</v>
      </c>
      <c r="BZ49" s="126">
        <f t="shared" si="120"/>
        <v>0</v>
      </c>
      <c r="CA49" s="126">
        <f t="shared" si="120"/>
        <v>0</v>
      </c>
    </row>
    <row r="50" spans="1:79">
      <c r="A50" s="147" t="str">
        <f t="shared" si="5"/>
        <v>D</v>
      </c>
      <c r="B50" s="148">
        <f t="shared" si="6"/>
        <v>40000</v>
      </c>
      <c r="C50" s="149" t="s">
        <v>76</v>
      </c>
      <c r="D50" s="150" t="s">
        <v>77</v>
      </c>
      <c r="E50" s="150" t="s">
        <v>0</v>
      </c>
      <c r="F50" s="145" t="s">
        <v>72</v>
      </c>
      <c r="G50" s="150" t="s">
        <v>0</v>
      </c>
      <c r="H50" s="150" t="s">
        <v>0</v>
      </c>
      <c r="I50" s="150" t="s">
        <v>0</v>
      </c>
      <c r="J50" s="151" t="s">
        <v>0</v>
      </c>
      <c r="K50" s="13">
        <v>18</v>
      </c>
      <c r="L50" s="12" t="s">
        <v>67</v>
      </c>
      <c r="M50" s="13">
        <v>13.5</v>
      </c>
      <c r="N50" s="13">
        <v>0</v>
      </c>
      <c r="O50" s="14">
        <v>13.5</v>
      </c>
      <c r="P50" s="113">
        <f t="shared" si="105"/>
        <v>18</v>
      </c>
      <c r="Q50" s="114">
        <f t="shared" si="106"/>
        <v>0</v>
      </c>
      <c r="R50" s="114">
        <f t="shared" si="107"/>
        <v>13.5</v>
      </c>
      <c r="S50" s="114">
        <f t="shared" si="108"/>
        <v>0</v>
      </c>
      <c r="T50" s="93">
        <f t="shared" si="109"/>
        <v>1</v>
      </c>
      <c r="U50" t="s">
        <v>0</v>
      </c>
      <c r="V50" s="79"/>
      <c r="W50" s="76"/>
      <c r="X50" s="76"/>
      <c r="Y50" s="76"/>
      <c r="Z50" s="76"/>
      <c r="AA50" s="80"/>
      <c r="AB50" s="79"/>
      <c r="AC50" s="76"/>
      <c r="AD50" s="76"/>
      <c r="AE50" s="76"/>
      <c r="AF50" s="76"/>
      <c r="AG50" s="80"/>
      <c r="AH50" s="79"/>
      <c r="AI50" s="76">
        <v>8</v>
      </c>
      <c r="AJ50" s="76"/>
      <c r="AK50" s="76"/>
      <c r="AL50" s="76"/>
      <c r="AM50" s="80"/>
      <c r="AN50" s="79"/>
      <c r="AO50" s="76"/>
      <c r="AP50" s="76"/>
      <c r="AQ50" s="76"/>
      <c r="AR50" s="76"/>
      <c r="AS50" s="80"/>
      <c r="AT50" s="79"/>
      <c r="AU50" s="76"/>
      <c r="AV50" s="76"/>
      <c r="AW50" s="76"/>
      <c r="AX50" s="76"/>
      <c r="AY50" s="80">
        <v>10</v>
      </c>
      <c r="AZ50" s="79"/>
      <c r="BA50" s="76"/>
      <c r="BB50" s="76"/>
      <c r="BC50" s="76"/>
      <c r="BD50" s="76"/>
      <c r="BE50" s="80"/>
      <c r="BF50" s="79"/>
      <c r="BG50" s="76"/>
      <c r="BH50" s="76"/>
      <c r="BI50" s="76"/>
      <c r="BJ50" s="76"/>
      <c r="BK50" s="80"/>
      <c r="BM50" s="125">
        <f t="shared" si="110"/>
        <v>0</v>
      </c>
      <c r="BN50" s="126">
        <f t="shared" si="111"/>
        <v>0</v>
      </c>
      <c r="BO50" s="126">
        <f t="shared" si="112"/>
        <v>8</v>
      </c>
      <c r="BP50" s="126">
        <f t="shared" si="113"/>
        <v>0</v>
      </c>
      <c r="BQ50" s="126">
        <f>SUM(AT50:AY50)</f>
        <v>10</v>
      </c>
      <c r="BR50" s="126">
        <f t="shared" si="114"/>
        <v>0</v>
      </c>
      <c r="BS50" s="127">
        <f t="shared" si="115"/>
        <v>0</v>
      </c>
      <c r="BT50" s="74"/>
      <c r="BU50" s="125">
        <f t="shared" si="116"/>
        <v>0</v>
      </c>
      <c r="BV50" s="126">
        <f t="shared" si="117"/>
        <v>0</v>
      </c>
      <c r="BW50" s="126">
        <f t="shared" si="118"/>
        <v>6</v>
      </c>
      <c r="BX50" s="126">
        <f t="shared" si="119"/>
        <v>0</v>
      </c>
      <c r="BY50" s="126">
        <f t="shared" si="120"/>
        <v>7.5</v>
      </c>
      <c r="BZ50" s="126">
        <f t="shared" si="120"/>
        <v>0</v>
      </c>
      <c r="CA50" s="126">
        <f t="shared" si="120"/>
        <v>0</v>
      </c>
    </row>
    <row r="51" spans="1:79">
      <c r="A51" s="147" t="str">
        <f t="shared" si="5"/>
        <v>D</v>
      </c>
      <c r="B51" s="148">
        <f t="shared" si="6"/>
        <v>40000</v>
      </c>
      <c r="C51" s="149" t="s">
        <v>76</v>
      </c>
      <c r="D51" s="150" t="s">
        <v>77</v>
      </c>
      <c r="E51" s="150" t="s">
        <v>0</v>
      </c>
      <c r="F51" s="145" t="s">
        <v>78</v>
      </c>
      <c r="G51" s="150" t="s">
        <v>0</v>
      </c>
      <c r="H51" s="150" t="s">
        <v>0</v>
      </c>
      <c r="I51" s="150" t="s">
        <v>0</v>
      </c>
      <c r="J51" s="151" t="s">
        <v>0</v>
      </c>
      <c r="K51" s="13">
        <v>2</v>
      </c>
      <c r="L51" s="12" t="s">
        <v>32</v>
      </c>
      <c r="M51" s="13">
        <v>12</v>
      </c>
      <c r="N51" s="13">
        <v>6</v>
      </c>
      <c r="O51" s="14">
        <v>18</v>
      </c>
      <c r="P51" s="113">
        <f t="shared" si="105"/>
        <v>2</v>
      </c>
      <c r="Q51" s="114">
        <f t="shared" si="106"/>
        <v>0</v>
      </c>
      <c r="R51" s="114">
        <f t="shared" si="107"/>
        <v>18</v>
      </c>
      <c r="S51" s="114">
        <f t="shared" si="108"/>
        <v>0</v>
      </c>
      <c r="T51" s="93">
        <f t="shared" si="109"/>
        <v>1</v>
      </c>
      <c r="U51" t="s">
        <v>0</v>
      </c>
      <c r="V51" s="79"/>
      <c r="W51" s="76"/>
      <c r="X51" s="76"/>
      <c r="Y51" s="76"/>
      <c r="Z51" s="76"/>
      <c r="AA51" s="80"/>
      <c r="AB51" s="79"/>
      <c r="AC51" s="76"/>
      <c r="AD51" s="76">
        <v>2</v>
      </c>
      <c r="AE51" s="76"/>
      <c r="AF51" s="76"/>
      <c r="AG51" s="80"/>
      <c r="AH51" s="79"/>
      <c r="AI51" s="76"/>
      <c r="AJ51" s="76"/>
      <c r="AK51" s="76"/>
      <c r="AL51" s="76"/>
      <c r="AM51" s="80"/>
      <c r="AN51" s="79"/>
      <c r="AO51" s="76"/>
      <c r="AP51" s="76"/>
      <c r="AQ51" s="76"/>
      <c r="AR51" s="76"/>
      <c r="AS51" s="80"/>
      <c r="AT51" s="79"/>
      <c r="AU51" s="76"/>
      <c r="AV51" s="76"/>
      <c r="AW51" s="76"/>
      <c r="AX51" s="76"/>
      <c r="AY51" s="80"/>
      <c r="AZ51" s="79"/>
      <c r="BA51" s="76"/>
      <c r="BB51" s="76"/>
      <c r="BC51" s="76"/>
      <c r="BD51" s="76"/>
      <c r="BE51" s="80"/>
      <c r="BF51" s="79"/>
      <c r="BG51" s="76"/>
      <c r="BH51" s="76"/>
      <c r="BI51" s="76"/>
      <c r="BJ51" s="76"/>
      <c r="BK51" s="80"/>
      <c r="BM51" s="125">
        <f t="shared" si="110"/>
        <v>0</v>
      </c>
      <c r="BN51" s="126">
        <f t="shared" si="111"/>
        <v>2</v>
      </c>
      <c r="BO51" s="126">
        <f t="shared" si="112"/>
        <v>0</v>
      </c>
      <c r="BP51" s="126">
        <f t="shared" si="113"/>
        <v>0</v>
      </c>
      <c r="BQ51" s="126">
        <f>SUM(AT51:AY51)</f>
        <v>0</v>
      </c>
      <c r="BR51" s="126">
        <f t="shared" si="114"/>
        <v>0</v>
      </c>
      <c r="BS51" s="127">
        <f t="shared" si="115"/>
        <v>0</v>
      </c>
      <c r="BT51" s="74"/>
      <c r="BU51" s="125">
        <f t="shared" si="116"/>
        <v>0</v>
      </c>
      <c r="BV51" s="126">
        <f t="shared" si="117"/>
        <v>18</v>
      </c>
      <c r="BW51" s="126">
        <f t="shared" si="118"/>
        <v>0</v>
      </c>
      <c r="BX51" s="126">
        <f t="shared" si="119"/>
        <v>0</v>
      </c>
      <c r="BY51" s="126">
        <f t="shared" si="120"/>
        <v>0</v>
      </c>
      <c r="BZ51" s="126">
        <f t="shared" si="120"/>
        <v>0</v>
      </c>
      <c r="CA51" s="126">
        <f t="shared" si="120"/>
        <v>0</v>
      </c>
    </row>
    <row r="52" spans="1:79">
      <c r="A52" s="147" t="str">
        <f t="shared" si="5"/>
        <v>D</v>
      </c>
      <c r="B52" s="148">
        <f t="shared" si="6"/>
        <v>40000</v>
      </c>
      <c r="C52" s="149" t="s">
        <v>76</v>
      </c>
      <c r="D52" s="150" t="s">
        <v>77</v>
      </c>
      <c r="E52" s="150" t="s">
        <v>0</v>
      </c>
      <c r="F52" s="145" t="s">
        <v>79</v>
      </c>
      <c r="G52" s="150" t="s">
        <v>0</v>
      </c>
      <c r="H52" s="150" t="s">
        <v>0</v>
      </c>
      <c r="I52" s="150" t="s">
        <v>0</v>
      </c>
      <c r="J52" s="151" t="s">
        <v>0</v>
      </c>
      <c r="K52" s="13">
        <v>1</v>
      </c>
      <c r="L52" s="12" t="s">
        <v>61</v>
      </c>
      <c r="M52" s="13">
        <v>10</v>
      </c>
      <c r="N52" s="13">
        <v>0</v>
      </c>
      <c r="O52" s="14">
        <v>10</v>
      </c>
      <c r="P52" s="113">
        <f t="shared" si="105"/>
        <v>1</v>
      </c>
      <c r="Q52" s="114">
        <f t="shared" si="106"/>
        <v>0</v>
      </c>
      <c r="R52" s="114">
        <f t="shared" si="107"/>
        <v>10</v>
      </c>
      <c r="S52" s="114">
        <f t="shared" si="108"/>
        <v>0</v>
      </c>
      <c r="T52" s="93">
        <f t="shared" si="109"/>
        <v>1</v>
      </c>
      <c r="U52" t="s">
        <v>0</v>
      </c>
      <c r="V52" s="79"/>
      <c r="W52" s="76"/>
      <c r="X52" s="76"/>
      <c r="Y52" s="76"/>
      <c r="Z52" s="76"/>
      <c r="AA52" s="80"/>
      <c r="AB52" s="79"/>
      <c r="AC52" s="76"/>
      <c r="AD52" s="76"/>
      <c r="AE52" s="76"/>
      <c r="AF52" s="76"/>
      <c r="AG52" s="80"/>
      <c r="AH52" s="79"/>
      <c r="AI52" s="76">
        <v>1</v>
      </c>
      <c r="AJ52" s="76"/>
      <c r="AK52" s="76"/>
      <c r="AL52" s="76"/>
      <c r="AM52" s="80"/>
      <c r="AN52" s="79"/>
      <c r="AO52" s="76"/>
      <c r="AP52" s="76"/>
      <c r="AQ52" s="76"/>
      <c r="AR52" s="76"/>
      <c r="AS52" s="80"/>
      <c r="AT52" s="79"/>
      <c r="AU52" s="76"/>
      <c r="AV52" s="76"/>
      <c r="AW52" s="76"/>
      <c r="AX52" s="76"/>
      <c r="AY52" s="80"/>
      <c r="AZ52" s="79"/>
      <c r="BA52" s="76"/>
      <c r="BB52" s="76"/>
      <c r="BC52" s="76"/>
      <c r="BD52" s="76"/>
      <c r="BE52" s="80"/>
      <c r="BF52" s="79"/>
      <c r="BG52" s="76"/>
      <c r="BH52" s="76"/>
      <c r="BI52" s="76"/>
      <c r="BJ52" s="76"/>
      <c r="BK52" s="80"/>
      <c r="BM52" s="125">
        <f t="shared" si="110"/>
        <v>0</v>
      </c>
      <c r="BN52" s="126">
        <f t="shared" si="111"/>
        <v>0</v>
      </c>
      <c r="BO52" s="126">
        <f t="shared" si="112"/>
        <v>1</v>
      </c>
      <c r="BP52" s="126">
        <f t="shared" si="113"/>
        <v>0</v>
      </c>
      <c r="BQ52" s="126">
        <f>SUM(AT52:AY52)</f>
        <v>0</v>
      </c>
      <c r="BR52" s="126">
        <f t="shared" si="114"/>
        <v>0</v>
      </c>
      <c r="BS52" s="127">
        <f t="shared" si="115"/>
        <v>0</v>
      </c>
      <c r="BT52" s="74"/>
      <c r="BU52" s="125">
        <f t="shared" si="116"/>
        <v>0</v>
      </c>
      <c r="BV52" s="126">
        <f t="shared" si="117"/>
        <v>0</v>
      </c>
      <c r="BW52" s="126">
        <f t="shared" si="118"/>
        <v>10</v>
      </c>
      <c r="BX52" s="126">
        <f t="shared" si="119"/>
        <v>0</v>
      </c>
      <c r="BY52" s="126">
        <f t="shared" si="120"/>
        <v>0</v>
      </c>
      <c r="BZ52" s="126">
        <f t="shared" si="120"/>
        <v>0</v>
      </c>
      <c r="CA52" s="126">
        <f t="shared" si="120"/>
        <v>0</v>
      </c>
    </row>
    <row r="53" spans="1:79">
      <c r="A53" s="147" t="str">
        <f t="shared" si="5"/>
        <v>D</v>
      </c>
      <c r="B53" s="148">
        <f t="shared" si="6"/>
        <v>40000</v>
      </c>
      <c r="C53" s="149" t="s">
        <v>76</v>
      </c>
      <c r="D53" s="150" t="s">
        <v>77</v>
      </c>
      <c r="E53" s="150" t="s">
        <v>0</v>
      </c>
      <c r="F53" s="145" t="s">
        <v>80</v>
      </c>
      <c r="G53" s="150" t="s">
        <v>0</v>
      </c>
      <c r="H53" s="150" t="s">
        <v>0</v>
      </c>
      <c r="I53" s="150" t="s">
        <v>0</v>
      </c>
      <c r="J53" s="151" t="s">
        <v>0</v>
      </c>
      <c r="K53" s="13">
        <v>4</v>
      </c>
      <c r="L53" s="12" t="s">
        <v>32</v>
      </c>
      <c r="M53" s="13">
        <v>4</v>
      </c>
      <c r="N53" s="13">
        <v>0</v>
      </c>
      <c r="O53" s="14">
        <v>4</v>
      </c>
      <c r="P53" s="113">
        <f t="shared" si="105"/>
        <v>4</v>
      </c>
      <c r="Q53" s="114">
        <f t="shared" si="106"/>
        <v>0</v>
      </c>
      <c r="R53" s="114">
        <f t="shared" si="107"/>
        <v>4</v>
      </c>
      <c r="S53" s="114">
        <f t="shared" si="108"/>
        <v>0</v>
      </c>
      <c r="T53" s="93">
        <f t="shared" si="109"/>
        <v>1</v>
      </c>
      <c r="U53" t="s">
        <v>0</v>
      </c>
      <c r="V53" s="79"/>
      <c r="W53" s="76"/>
      <c r="X53" s="76"/>
      <c r="Y53" s="76"/>
      <c r="Z53" s="76"/>
      <c r="AA53" s="80"/>
      <c r="AB53" s="79"/>
      <c r="AC53" s="76"/>
      <c r="AD53" s="76"/>
      <c r="AE53" s="76"/>
      <c r="AF53" s="76"/>
      <c r="AG53" s="80"/>
      <c r="AH53" s="79"/>
      <c r="AI53" s="76">
        <v>4</v>
      </c>
      <c r="AJ53" s="76"/>
      <c r="AK53" s="76"/>
      <c r="AL53" s="76"/>
      <c r="AM53" s="80"/>
      <c r="AN53" s="79"/>
      <c r="AO53" s="76"/>
      <c r="AP53" s="76"/>
      <c r="AQ53" s="76"/>
      <c r="AR53" s="76"/>
      <c r="AS53" s="80"/>
      <c r="AT53" s="79"/>
      <c r="AU53" s="76"/>
      <c r="AV53" s="76"/>
      <c r="AW53" s="76"/>
      <c r="AX53" s="76"/>
      <c r="AY53" s="80"/>
      <c r="AZ53" s="79"/>
      <c r="BA53" s="76"/>
      <c r="BB53" s="76"/>
      <c r="BC53" s="76"/>
      <c r="BD53" s="76"/>
      <c r="BE53" s="80"/>
      <c r="BF53" s="79"/>
      <c r="BG53" s="76"/>
      <c r="BH53" s="76"/>
      <c r="BI53" s="76"/>
      <c r="BJ53" s="76"/>
      <c r="BK53" s="80"/>
      <c r="BM53" s="125">
        <f t="shared" si="110"/>
        <v>0</v>
      </c>
      <c r="BN53" s="126">
        <f t="shared" si="111"/>
        <v>0</v>
      </c>
      <c r="BO53" s="126">
        <f t="shared" si="112"/>
        <v>4</v>
      </c>
      <c r="BP53" s="126">
        <f t="shared" si="113"/>
        <v>0</v>
      </c>
      <c r="BQ53" s="126">
        <f>SUM(AT53:AY53)</f>
        <v>0</v>
      </c>
      <c r="BR53" s="126">
        <f t="shared" si="114"/>
        <v>0</v>
      </c>
      <c r="BS53" s="127">
        <f t="shared" si="115"/>
        <v>0</v>
      </c>
      <c r="BT53" s="74"/>
      <c r="BU53" s="125">
        <f t="shared" si="116"/>
        <v>0</v>
      </c>
      <c r="BV53" s="126">
        <f t="shared" si="117"/>
        <v>0</v>
      </c>
      <c r="BW53" s="126">
        <f t="shared" si="118"/>
        <v>4</v>
      </c>
      <c r="BX53" s="126">
        <f t="shared" si="119"/>
        <v>0</v>
      </c>
      <c r="BY53" s="126">
        <f t="shared" si="120"/>
        <v>0</v>
      </c>
      <c r="BZ53" s="126">
        <f t="shared" si="120"/>
        <v>0</v>
      </c>
      <c r="CA53" s="126">
        <f t="shared" si="120"/>
        <v>0</v>
      </c>
    </row>
    <row r="54" spans="1:79">
      <c r="A54" s="147" t="str">
        <f t="shared" si="5"/>
        <v>D</v>
      </c>
      <c r="B54" s="148">
        <f t="shared" si="6"/>
        <v>40000</v>
      </c>
      <c r="C54" s="149" t="s">
        <v>76</v>
      </c>
      <c r="D54" s="150" t="s">
        <v>77</v>
      </c>
      <c r="E54" s="150" t="s">
        <v>0</v>
      </c>
      <c r="F54" s="145" t="s">
        <v>81</v>
      </c>
      <c r="G54" s="150" t="s">
        <v>0</v>
      </c>
      <c r="H54" s="150" t="s">
        <v>0</v>
      </c>
      <c r="I54" s="150" t="s">
        <v>0</v>
      </c>
      <c r="J54" s="151" t="s">
        <v>0</v>
      </c>
      <c r="K54" s="13">
        <v>500</v>
      </c>
      <c r="L54" s="12" t="s">
        <v>48</v>
      </c>
      <c r="M54" s="13">
        <v>25</v>
      </c>
      <c r="N54" s="13">
        <v>0</v>
      </c>
      <c r="O54" s="14">
        <v>25</v>
      </c>
      <c r="P54" s="113">
        <f t="shared" si="105"/>
        <v>500</v>
      </c>
      <c r="Q54" s="114">
        <f t="shared" si="106"/>
        <v>0</v>
      </c>
      <c r="R54" s="114">
        <f t="shared" si="107"/>
        <v>25</v>
      </c>
      <c r="S54" s="114">
        <f t="shared" si="108"/>
        <v>0</v>
      </c>
      <c r="T54" s="93">
        <f t="shared" si="109"/>
        <v>1</v>
      </c>
      <c r="U54" t="s">
        <v>0</v>
      </c>
      <c r="V54" s="79"/>
      <c r="W54" s="76"/>
      <c r="X54" s="76"/>
      <c r="Y54" s="76"/>
      <c r="Z54" s="76"/>
      <c r="AA54" s="80"/>
      <c r="AB54" s="79"/>
      <c r="AC54" s="76"/>
      <c r="AD54" s="76"/>
      <c r="AE54" s="76"/>
      <c r="AF54" s="76"/>
      <c r="AG54" s="80"/>
      <c r="AH54" s="79"/>
      <c r="AI54" s="76"/>
      <c r="AJ54" s="76"/>
      <c r="AK54" s="76"/>
      <c r="AL54" s="76"/>
      <c r="AM54" s="80"/>
      <c r="AN54" s="79"/>
      <c r="AO54" s="76"/>
      <c r="AP54" s="76"/>
      <c r="AQ54" s="76"/>
      <c r="AR54" s="76"/>
      <c r="AS54" s="80"/>
      <c r="AT54" s="79"/>
      <c r="AU54" s="76"/>
      <c r="AV54" s="76"/>
      <c r="AW54" s="76"/>
      <c r="AX54" s="76"/>
      <c r="AY54" s="80">
        <v>500</v>
      </c>
      <c r="AZ54" s="79"/>
      <c r="BA54" s="76"/>
      <c r="BB54" s="76"/>
      <c r="BC54" s="76"/>
      <c r="BD54" s="76"/>
      <c r="BE54" s="80"/>
      <c r="BF54" s="79"/>
      <c r="BG54" s="76"/>
      <c r="BH54" s="76"/>
      <c r="BI54" s="76"/>
      <c r="BJ54" s="76"/>
      <c r="BK54" s="80"/>
      <c r="BM54" s="125">
        <f t="shared" si="110"/>
        <v>0</v>
      </c>
      <c r="BN54" s="126">
        <f t="shared" si="111"/>
        <v>0</v>
      </c>
      <c r="BO54" s="126">
        <f t="shared" si="112"/>
        <v>0</v>
      </c>
      <c r="BP54" s="126">
        <f t="shared" si="113"/>
        <v>0</v>
      </c>
      <c r="BQ54" s="126">
        <f>SUM(AT54:AY54)</f>
        <v>500</v>
      </c>
      <c r="BR54" s="126">
        <f t="shared" si="114"/>
        <v>0</v>
      </c>
      <c r="BS54" s="127">
        <f t="shared" si="115"/>
        <v>0</v>
      </c>
      <c r="BT54" s="74"/>
      <c r="BU54" s="125">
        <f t="shared" si="116"/>
        <v>0</v>
      </c>
      <c r="BV54" s="126">
        <f t="shared" si="117"/>
        <v>0</v>
      </c>
      <c r="BW54" s="126">
        <f t="shared" si="118"/>
        <v>0</v>
      </c>
      <c r="BX54" s="126">
        <f t="shared" si="119"/>
        <v>0</v>
      </c>
      <c r="BY54" s="126">
        <f t="shared" si="120"/>
        <v>25</v>
      </c>
      <c r="BZ54" s="126">
        <f t="shared" si="120"/>
        <v>0</v>
      </c>
      <c r="CA54" s="126">
        <f t="shared" si="120"/>
        <v>0</v>
      </c>
    </row>
    <row r="55" spans="1:79">
      <c r="A55" s="147" t="str">
        <f t="shared" si="5"/>
        <v>D</v>
      </c>
      <c r="B55" s="148">
        <f t="shared" si="6"/>
        <v>40000</v>
      </c>
      <c r="C55" s="149" t="s">
        <v>76</v>
      </c>
      <c r="D55" s="150" t="s">
        <v>77</v>
      </c>
      <c r="E55" s="150" t="s">
        <v>0</v>
      </c>
      <c r="F55" s="145" t="s">
        <v>82</v>
      </c>
      <c r="G55" s="150" t="s">
        <v>0</v>
      </c>
      <c r="H55" s="150" t="s">
        <v>0</v>
      </c>
      <c r="I55" s="150" t="s">
        <v>0</v>
      </c>
      <c r="J55" s="151" t="s">
        <v>0</v>
      </c>
      <c r="K55" s="13">
        <v>3</v>
      </c>
      <c r="L55" s="12" t="s">
        <v>32</v>
      </c>
      <c r="M55" s="13">
        <v>18</v>
      </c>
      <c r="N55" s="13">
        <v>0</v>
      </c>
      <c r="O55" s="14">
        <v>18</v>
      </c>
      <c r="P55" s="113">
        <f t="shared" si="105"/>
        <v>3</v>
      </c>
      <c r="Q55" s="114">
        <f t="shared" si="106"/>
        <v>0</v>
      </c>
      <c r="R55" s="114">
        <f t="shared" si="107"/>
        <v>18</v>
      </c>
      <c r="S55" s="114">
        <f t="shared" si="108"/>
        <v>0</v>
      </c>
      <c r="T55" s="93">
        <f t="shared" si="109"/>
        <v>1</v>
      </c>
      <c r="U55" t="s">
        <v>0</v>
      </c>
      <c r="V55" s="79"/>
      <c r="W55" s="76"/>
      <c r="X55" s="76"/>
      <c r="Y55" s="76"/>
      <c r="Z55" s="76"/>
      <c r="AA55" s="80"/>
      <c r="AB55" s="79"/>
      <c r="AC55" s="76"/>
      <c r="AD55" s="76"/>
      <c r="AE55" s="76"/>
      <c r="AF55" s="76"/>
      <c r="AG55" s="80"/>
      <c r="AH55" s="79"/>
      <c r="AI55" s="76"/>
      <c r="AJ55" s="76"/>
      <c r="AK55" s="76"/>
      <c r="AL55" s="76"/>
      <c r="AM55" s="80"/>
      <c r="AN55" s="79"/>
      <c r="AO55" s="76"/>
      <c r="AP55" s="76"/>
      <c r="AQ55" s="76"/>
      <c r="AR55" s="76"/>
      <c r="AS55" s="80"/>
      <c r="AT55" s="79"/>
      <c r="AU55" s="76"/>
      <c r="AV55" s="76"/>
      <c r="AW55" s="76"/>
      <c r="AX55" s="76"/>
      <c r="AY55" s="80">
        <v>3</v>
      </c>
      <c r="AZ55" s="79"/>
      <c r="BA55" s="76"/>
      <c r="BB55" s="76"/>
      <c r="BC55" s="76"/>
      <c r="BD55" s="76"/>
      <c r="BE55" s="80"/>
      <c r="BF55" s="79"/>
      <c r="BG55" s="76"/>
      <c r="BH55" s="76"/>
      <c r="BI55" s="76"/>
      <c r="BJ55" s="76"/>
      <c r="BK55" s="80"/>
      <c r="BM55" s="125">
        <f t="shared" si="110"/>
        <v>0</v>
      </c>
      <c r="BN55" s="126">
        <f t="shared" si="111"/>
        <v>0</v>
      </c>
      <c r="BO55" s="126">
        <f t="shared" si="112"/>
        <v>0</v>
      </c>
      <c r="BP55" s="126">
        <f t="shared" si="113"/>
        <v>0</v>
      </c>
      <c r="BQ55" s="126">
        <f>SUM(AT55:AY55)</f>
        <v>3</v>
      </c>
      <c r="BR55" s="126">
        <f t="shared" si="114"/>
        <v>0</v>
      </c>
      <c r="BS55" s="127">
        <f t="shared" si="115"/>
        <v>0</v>
      </c>
      <c r="BT55" s="74"/>
      <c r="BU55" s="125">
        <f t="shared" si="116"/>
        <v>0</v>
      </c>
      <c r="BV55" s="126">
        <f t="shared" si="117"/>
        <v>0</v>
      </c>
      <c r="BW55" s="126">
        <f t="shared" si="118"/>
        <v>0</v>
      </c>
      <c r="BX55" s="126">
        <f t="shared" si="119"/>
        <v>0</v>
      </c>
      <c r="BY55" s="126">
        <f t="shared" si="120"/>
        <v>18</v>
      </c>
      <c r="BZ55" s="126">
        <f t="shared" si="120"/>
        <v>0</v>
      </c>
      <c r="CA55" s="126">
        <f t="shared" si="120"/>
        <v>0</v>
      </c>
    </row>
    <row r="56" spans="1:79" ht="15.75">
      <c r="A56" s="152" t="str">
        <f t="shared" si="5"/>
        <v>P</v>
      </c>
      <c r="B56" s="153">
        <f t="shared" si="6"/>
        <v>40000</v>
      </c>
      <c r="C56" s="154" t="s">
        <v>83</v>
      </c>
      <c r="D56" s="155" t="s">
        <v>84</v>
      </c>
      <c r="E56" s="155" t="s">
        <v>0</v>
      </c>
      <c r="F56" s="156" t="s">
        <v>85</v>
      </c>
      <c r="G56" s="155" t="s">
        <v>0</v>
      </c>
      <c r="H56" s="155" t="s">
        <v>0</v>
      </c>
      <c r="I56" s="155" t="s">
        <v>0</v>
      </c>
      <c r="J56" s="157" t="s">
        <v>0</v>
      </c>
      <c r="K56" s="9">
        <v>1.2</v>
      </c>
      <c r="L56" s="8" t="s">
        <v>67</v>
      </c>
      <c r="M56" s="9">
        <v>30.9</v>
      </c>
      <c r="N56" s="9">
        <v>0</v>
      </c>
      <c r="O56" s="10">
        <v>30.9</v>
      </c>
      <c r="P56" s="111"/>
      <c r="Q56" s="112"/>
      <c r="R56" s="112">
        <f>SUMIFS(R57:R$415,$C57:$C$415,$C56)</f>
        <v>30.9</v>
      </c>
      <c r="S56" s="112">
        <f>SUMIFS(S57:S$415,$C57:$C$415,$C56)</f>
        <v>0</v>
      </c>
      <c r="T56" s="92">
        <f>R56/O56</f>
        <v>1</v>
      </c>
      <c r="V56" s="77"/>
      <c r="W56" s="75"/>
      <c r="X56" s="75"/>
      <c r="Y56" s="75"/>
      <c r="Z56" s="75"/>
      <c r="AA56" s="78"/>
      <c r="AB56" s="77"/>
      <c r="AC56" s="75"/>
      <c r="AD56" s="75"/>
      <c r="AE56" s="75"/>
      <c r="AF56" s="75"/>
      <c r="AG56" s="78"/>
      <c r="AH56" s="77"/>
      <c r="AI56" s="75"/>
      <c r="AJ56" s="75"/>
      <c r="AK56" s="75"/>
      <c r="AL56" s="75"/>
      <c r="AM56" s="78"/>
      <c r="AN56" s="77"/>
      <c r="AO56" s="75"/>
      <c r="AP56" s="75"/>
      <c r="AQ56" s="75"/>
      <c r="AR56" s="75"/>
      <c r="AS56" s="78"/>
      <c r="AT56" s="77"/>
      <c r="AU56" s="75"/>
      <c r="AV56" s="75"/>
      <c r="AW56" s="75"/>
      <c r="AX56" s="75"/>
      <c r="AY56" s="78"/>
      <c r="AZ56" s="77"/>
      <c r="BA56" s="75"/>
      <c r="BB56" s="75"/>
      <c r="BC56" s="75"/>
      <c r="BD56" s="75"/>
      <c r="BE56" s="78"/>
      <c r="BF56" s="77"/>
      <c r="BG56" s="75"/>
      <c r="BH56" s="75"/>
      <c r="BI56" s="75"/>
      <c r="BJ56" s="75"/>
      <c r="BK56" s="78"/>
      <c r="BM56" s="122"/>
      <c r="BN56" s="123"/>
      <c r="BO56" s="123"/>
      <c r="BP56" s="123"/>
      <c r="BQ56" s="123"/>
      <c r="BR56" s="123"/>
      <c r="BS56" s="124"/>
      <c r="BT56" s="74"/>
      <c r="BU56" s="122"/>
      <c r="BV56" s="123"/>
      <c r="BW56" s="123"/>
      <c r="BX56" s="123"/>
      <c r="BY56" s="123"/>
      <c r="BZ56" s="123"/>
      <c r="CA56" s="123"/>
    </row>
    <row r="57" spans="1:79">
      <c r="A57" s="147" t="str">
        <f t="shared" si="5"/>
        <v>D</v>
      </c>
      <c r="B57" s="148">
        <f t="shared" si="6"/>
        <v>40000</v>
      </c>
      <c r="C57" s="149" t="s">
        <v>83</v>
      </c>
      <c r="D57" s="150" t="s">
        <v>84</v>
      </c>
      <c r="E57" s="150" t="s">
        <v>0</v>
      </c>
      <c r="F57" s="145" t="s">
        <v>68</v>
      </c>
      <c r="G57" s="150" t="s">
        <v>0</v>
      </c>
      <c r="H57" s="150" t="s">
        <v>0</v>
      </c>
      <c r="I57" s="150" t="s">
        <v>0</v>
      </c>
      <c r="J57" s="151" t="s">
        <v>0</v>
      </c>
      <c r="K57" s="13">
        <v>1</v>
      </c>
      <c r="L57" s="12" t="s">
        <v>32</v>
      </c>
      <c r="M57" s="13">
        <v>4</v>
      </c>
      <c r="N57" s="13">
        <v>0</v>
      </c>
      <c r="O57" s="14">
        <v>4</v>
      </c>
      <c r="P57" s="113">
        <f t="shared" ref="P57:P61" si="121">SUM(BM57:BS57)</f>
        <v>1</v>
      </c>
      <c r="Q57" s="114">
        <f t="shared" ref="Q57:Q61" si="122">K57-P57</f>
        <v>0</v>
      </c>
      <c r="R57" s="114">
        <f t="shared" ref="R57:R61" si="123">SUM(BU57:CA57)</f>
        <v>4</v>
      </c>
      <c r="S57" s="114">
        <f t="shared" ref="S57:S61" si="124">O57-R57</f>
        <v>0</v>
      </c>
      <c r="T57" s="93">
        <f t="shared" ref="T57:T61" si="125">R57/O57</f>
        <v>1</v>
      </c>
      <c r="U57" t="s">
        <v>0</v>
      </c>
      <c r="V57" s="79"/>
      <c r="W57" s="76"/>
      <c r="X57" s="76"/>
      <c r="Y57" s="76">
        <v>1</v>
      </c>
      <c r="Z57" s="76"/>
      <c r="AA57" s="80"/>
      <c r="AB57" s="79"/>
      <c r="AC57" s="76"/>
      <c r="AD57" s="76"/>
      <c r="AE57" s="76"/>
      <c r="AF57" s="76"/>
      <c r="AG57" s="80"/>
      <c r="AH57" s="79"/>
      <c r="AI57" s="76"/>
      <c r="AJ57" s="76"/>
      <c r="AK57" s="76"/>
      <c r="AL57" s="76"/>
      <c r="AM57" s="80"/>
      <c r="AN57" s="79"/>
      <c r="AO57" s="76"/>
      <c r="AP57" s="76"/>
      <c r="AQ57" s="76"/>
      <c r="AR57" s="76"/>
      <c r="AS57" s="80"/>
      <c r="AT57" s="79"/>
      <c r="AU57" s="76"/>
      <c r="AV57" s="76"/>
      <c r="AW57" s="76"/>
      <c r="AX57" s="76"/>
      <c r="AY57" s="80"/>
      <c r="AZ57" s="79"/>
      <c r="BA57" s="76"/>
      <c r="BB57" s="76"/>
      <c r="BC57" s="76"/>
      <c r="BD57" s="76"/>
      <c r="BE57" s="80"/>
      <c r="BF57" s="79"/>
      <c r="BG57" s="76"/>
      <c r="BH57" s="76"/>
      <c r="BI57" s="76"/>
      <c r="BJ57" s="76"/>
      <c r="BK57" s="80"/>
      <c r="BM57" s="125">
        <f t="shared" ref="BM57:BM61" si="126">SUM(V57:AA57)</f>
        <v>1</v>
      </c>
      <c r="BN57" s="126">
        <f t="shared" ref="BN57:BN61" si="127">SUM(AB57:AG57)</f>
        <v>0</v>
      </c>
      <c r="BO57" s="126">
        <f t="shared" ref="BO57:BO61" si="128">SUM(AH57:AM57)</f>
        <v>0</v>
      </c>
      <c r="BP57" s="126">
        <f t="shared" ref="BP57:BP61" si="129">SUM(AN57:AS57)</f>
        <v>0</v>
      </c>
      <c r="BQ57" s="126">
        <f>SUM(AT57:AY57)</f>
        <v>0</v>
      </c>
      <c r="BR57" s="126">
        <f t="shared" ref="BR57:BS61" si="130">SUM(AZ57:BE57)</f>
        <v>0</v>
      </c>
      <c r="BS57" s="127">
        <f t="shared" ref="BS57:BS61" si="131">SUM(BF57:BK57)</f>
        <v>0</v>
      </c>
      <c r="BT57" s="74"/>
      <c r="BU57" s="125">
        <f t="shared" ref="BU57:BU61" si="132">(BM57/$K57)*$O57</f>
        <v>4</v>
      </c>
      <c r="BV57" s="126">
        <f t="shared" ref="BV57:BV61" si="133">(BN57/$K57)*$O57</f>
        <v>0</v>
      </c>
      <c r="BW57" s="126">
        <f t="shared" ref="BW57:BW61" si="134">(BO57/$K57)*$O57</f>
        <v>0</v>
      </c>
      <c r="BX57" s="126">
        <f t="shared" ref="BX57:BX61" si="135">(BP57/$K57)*$O57</f>
        <v>0</v>
      </c>
      <c r="BY57" s="126">
        <f t="shared" ref="BY57:CA61" si="136">(BQ57/$K57)*$O57</f>
        <v>0</v>
      </c>
      <c r="BZ57" s="126">
        <f t="shared" si="136"/>
        <v>0</v>
      </c>
      <c r="CA57" s="126">
        <f t="shared" si="136"/>
        <v>0</v>
      </c>
    </row>
    <row r="58" spans="1:79">
      <c r="A58" s="147" t="str">
        <f t="shared" si="5"/>
        <v>D</v>
      </c>
      <c r="B58" s="148">
        <f t="shared" si="6"/>
        <v>40000</v>
      </c>
      <c r="C58" s="149" t="s">
        <v>83</v>
      </c>
      <c r="D58" s="150" t="s">
        <v>84</v>
      </c>
      <c r="E58" s="150" t="s">
        <v>0</v>
      </c>
      <c r="F58" s="145" t="s">
        <v>69</v>
      </c>
      <c r="G58" s="150" t="s">
        <v>0</v>
      </c>
      <c r="H58" s="150" t="s">
        <v>0</v>
      </c>
      <c r="I58" s="150" t="s">
        <v>0</v>
      </c>
      <c r="J58" s="151" t="s">
        <v>0</v>
      </c>
      <c r="K58" s="13">
        <v>4</v>
      </c>
      <c r="L58" s="12" t="s">
        <v>32</v>
      </c>
      <c r="M58" s="13">
        <v>16</v>
      </c>
      <c r="N58" s="13">
        <v>0</v>
      </c>
      <c r="O58" s="14">
        <v>16</v>
      </c>
      <c r="P58" s="113">
        <f t="shared" si="121"/>
        <v>4</v>
      </c>
      <c r="Q58" s="114">
        <f t="shared" si="122"/>
        <v>0</v>
      </c>
      <c r="R58" s="114">
        <f t="shared" si="123"/>
        <v>16</v>
      </c>
      <c r="S58" s="114">
        <f t="shared" si="124"/>
        <v>0</v>
      </c>
      <c r="T58" s="93">
        <f t="shared" si="125"/>
        <v>1</v>
      </c>
      <c r="U58" t="s">
        <v>0</v>
      </c>
      <c r="V58" s="79"/>
      <c r="W58" s="76"/>
      <c r="X58" s="76"/>
      <c r="Y58" s="76"/>
      <c r="Z58" s="76"/>
      <c r="AA58" s="80"/>
      <c r="AB58" s="79"/>
      <c r="AC58" s="76"/>
      <c r="AD58" s="76"/>
      <c r="AE58" s="76"/>
      <c r="AF58" s="76"/>
      <c r="AG58" s="80"/>
      <c r="AH58" s="79"/>
      <c r="AI58" s="76"/>
      <c r="AJ58" s="76"/>
      <c r="AK58" s="76"/>
      <c r="AL58" s="76"/>
      <c r="AM58" s="80"/>
      <c r="AN58" s="79"/>
      <c r="AO58" s="76"/>
      <c r="AP58" s="76"/>
      <c r="AQ58" s="76"/>
      <c r="AR58" s="76"/>
      <c r="AS58" s="80"/>
      <c r="AT58" s="79"/>
      <c r="AU58" s="76"/>
      <c r="AV58" s="76"/>
      <c r="AW58" s="76"/>
      <c r="AX58" s="76"/>
      <c r="AY58" s="80">
        <v>4</v>
      </c>
      <c r="AZ58" s="79"/>
      <c r="BA58" s="76"/>
      <c r="BB58" s="76"/>
      <c r="BC58" s="76"/>
      <c r="BD58" s="76"/>
      <c r="BE58" s="80"/>
      <c r="BF58" s="79"/>
      <c r="BG58" s="76"/>
      <c r="BH58" s="76"/>
      <c r="BI58" s="76"/>
      <c r="BJ58" s="76"/>
      <c r="BK58" s="80"/>
      <c r="BM58" s="125">
        <f t="shared" si="126"/>
        <v>0</v>
      </c>
      <c r="BN58" s="126">
        <f t="shared" si="127"/>
        <v>0</v>
      </c>
      <c r="BO58" s="126">
        <f t="shared" si="128"/>
        <v>0</v>
      </c>
      <c r="BP58" s="126">
        <f t="shared" si="129"/>
        <v>0</v>
      </c>
      <c r="BQ58" s="126">
        <f>SUM(AT58:AY58)</f>
        <v>4</v>
      </c>
      <c r="BR58" s="126">
        <f t="shared" si="130"/>
        <v>0</v>
      </c>
      <c r="BS58" s="127">
        <f t="shared" si="131"/>
        <v>0</v>
      </c>
      <c r="BT58" s="74"/>
      <c r="BU58" s="125">
        <f t="shared" si="132"/>
        <v>0</v>
      </c>
      <c r="BV58" s="126">
        <f t="shared" si="133"/>
        <v>0</v>
      </c>
      <c r="BW58" s="126">
        <f t="shared" si="134"/>
        <v>0</v>
      </c>
      <c r="BX58" s="126">
        <f t="shared" si="135"/>
        <v>0</v>
      </c>
      <c r="BY58" s="126">
        <f t="shared" si="136"/>
        <v>16</v>
      </c>
      <c r="BZ58" s="126">
        <f t="shared" si="136"/>
        <v>0</v>
      </c>
      <c r="CA58" s="126">
        <f t="shared" si="136"/>
        <v>0</v>
      </c>
    </row>
    <row r="59" spans="1:79">
      <c r="A59" s="147" t="str">
        <f t="shared" si="5"/>
        <v>D</v>
      </c>
      <c r="B59" s="148">
        <f t="shared" si="6"/>
        <v>40000</v>
      </c>
      <c r="C59" s="149" t="s">
        <v>83</v>
      </c>
      <c r="D59" s="150" t="s">
        <v>84</v>
      </c>
      <c r="E59" s="150" t="s">
        <v>0</v>
      </c>
      <c r="F59" s="145" t="s">
        <v>70</v>
      </c>
      <c r="G59" s="150" t="s">
        <v>0</v>
      </c>
      <c r="H59" s="150" t="s">
        <v>0</v>
      </c>
      <c r="I59" s="150" t="s">
        <v>0</v>
      </c>
      <c r="J59" s="151" t="s">
        <v>0</v>
      </c>
      <c r="K59" s="13">
        <v>4</v>
      </c>
      <c r="L59" s="12" t="s">
        <v>32</v>
      </c>
      <c r="M59" s="13">
        <v>6</v>
      </c>
      <c r="N59" s="13">
        <v>0</v>
      </c>
      <c r="O59" s="14">
        <v>6</v>
      </c>
      <c r="P59" s="113">
        <f t="shared" si="121"/>
        <v>4</v>
      </c>
      <c r="Q59" s="114">
        <f t="shared" si="122"/>
        <v>0</v>
      </c>
      <c r="R59" s="114">
        <f t="shared" si="123"/>
        <v>6</v>
      </c>
      <c r="S59" s="114">
        <f t="shared" si="124"/>
        <v>0</v>
      </c>
      <c r="T59" s="93">
        <f t="shared" si="125"/>
        <v>1</v>
      </c>
      <c r="U59" t="s">
        <v>0</v>
      </c>
      <c r="V59" s="79"/>
      <c r="W59" s="76"/>
      <c r="X59" s="76">
        <v>4</v>
      </c>
      <c r="Y59" s="76"/>
      <c r="Z59" s="76"/>
      <c r="AA59" s="80"/>
      <c r="AB59" s="79"/>
      <c r="AC59" s="76"/>
      <c r="AD59" s="76"/>
      <c r="AE59" s="76"/>
      <c r="AF59" s="76"/>
      <c r="AG59" s="80"/>
      <c r="AH59" s="79"/>
      <c r="AI59" s="76"/>
      <c r="AJ59" s="76"/>
      <c r="AK59" s="76"/>
      <c r="AL59" s="76"/>
      <c r="AM59" s="80"/>
      <c r="AN59" s="79"/>
      <c r="AO59" s="76"/>
      <c r="AP59" s="76"/>
      <c r="AQ59" s="76"/>
      <c r="AR59" s="76"/>
      <c r="AS59" s="80"/>
      <c r="AT59" s="79"/>
      <c r="AU59" s="76"/>
      <c r="AV59" s="76"/>
      <c r="AW59" s="76"/>
      <c r="AX59" s="76"/>
      <c r="AY59" s="80"/>
      <c r="AZ59" s="79"/>
      <c r="BA59" s="76"/>
      <c r="BB59" s="76"/>
      <c r="BC59" s="76"/>
      <c r="BD59" s="76"/>
      <c r="BE59" s="80"/>
      <c r="BF59" s="79"/>
      <c r="BG59" s="76"/>
      <c r="BH59" s="76"/>
      <c r="BI59" s="76"/>
      <c r="BJ59" s="76"/>
      <c r="BK59" s="80"/>
      <c r="BM59" s="125">
        <f t="shared" si="126"/>
        <v>4</v>
      </c>
      <c r="BN59" s="126">
        <f t="shared" si="127"/>
        <v>0</v>
      </c>
      <c r="BO59" s="126">
        <f t="shared" si="128"/>
        <v>0</v>
      </c>
      <c r="BP59" s="126">
        <f t="shared" si="129"/>
        <v>0</v>
      </c>
      <c r="BQ59" s="126">
        <f>SUM(AT59:AY59)</f>
        <v>0</v>
      </c>
      <c r="BR59" s="126">
        <f t="shared" si="130"/>
        <v>0</v>
      </c>
      <c r="BS59" s="127">
        <f t="shared" si="131"/>
        <v>0</v>
      </c>
      <c r="BT59" s="74"/>
      <c r="BU59" s="125">
        <f t="shared" si="132"/>
        <v>6</v>
      </c>
      <c r="BV59" s="126">
        <f t="shared" si="133"/>
        <v>0</v>
      </c>
      <c r="BW59" s="126">
        <f t="shared" si="134"/>
        <v>0</v>
      </c>
      <c r="BX59" s="126">
        <f t="shared" si="135"/>
        <v>0</v>
      </c>
      <c r="BY59" s="126">
        <f t="shared" si="136"/>
        <v>0</v>
      </c>
      <c r="BZ59" s="126">
        <f t="shared" si="136"/>
        <v>0</v>
      </c>
      <c r="CA59" s="126">
        <f t="shared" si="136"/>
        <v>0</v>
      </c>
    </row>
    <row r="60" spans="1:79">
      <c r="A60" s="147" t="str">
        <f t="shared" si="5"/>
        <v>D</v>
      </c>
      <c r="B60" s="148">
        <f t="shared" si="6"/>
        <v>40000</v>
      </c>
      <c r="C60" s="149" t="s">
        <v>83</v>
      </c>
      <c r="D60" s="150" t="s">
        <v>84</v>
      </c>
      <c r="E60" s="150" t="s">
        <v>0</v>
      </c>
      <c r="F60" s="145" t="s">
        <v>71</v>
      </c>
      <c r="G60" s="150" t="s">
        <v>0</v>
      </c>
      <c r="H60" s="150" t="s">
        <v>0</v>
      </c>
      <c r="I60" s="150" t="s">
        <v>0</v>
      </c>
      <c r="J60" s="151" t="s">
        <v>0</v>
      </c>
      <c r="K60" s="13">
        <v>4</v>
      </c>
      <c r="L60" s="12" t="s">
        <v>32</v>
      </c>
      <c r="M60" s="13">
        <v>4</v>
      </c>
      <c r="N60" s="13">
        <v>0</v>
      </c>
      <c r="O60" s="14">
        <v>4</v>
      </c>
      <c r="P60" s="113">
        <f t="shared" si="121"/>
        <v>4</v>
      </c>
      <c r="Q60" s="114">
        <f t="shared" si="122"/>
        <v>0</v>
      </c>
      <c r="R60" s="114">
        <f t="shared" si="123"/>
        <v>4</v>
      </c>
      <c r="S60" s="114">
        <f t="shared" si="124"/>
        <v>0</v>
      </c>
      <c r="T60" s="93">
        <f t="shared" si="125"/>
        <v>1</v>
      </c>
      <c r="U60" t="s">
        <v>0</v>
      </c>
      <c r="V60" s="79"/>
      <c r="W60" s="76"/>
      <c r="X60" s="76"/>
      <c r="Y60" s="76"/>
      <c r="Z60" s="76"/>
      <c r="AA60" s="80"/>
      <c r="AB60" s="79"/>
      <c r="AC60" s="76">
        <v>4</v>
      </c>
      <c r="AD60" s="76"/>
      <c r="AE60" s="76"/>
      <c r="AF60" s="76"/>
      <c r="AG60" s="80"/>
      <c r="AH60" s="79"/>
      <c r="AI60" s="76"/>
      <c r="AJ60" s="76"/>
      <c r="AK60" s="76"/>
      <c r="AL60" s="76"/>
      <c r="AM60" s="80"/>
      <c r="AN60" s="79"/>
      <c r="AO60" s="76"/>
      <c r="AP60" s="76"/>
      <c r="AQ60" s="76"/>
      <c r="AR60" s="76"/>
      <c r="AS60" s="80"/>
      <c r="AT60" s="79"/>
      <c r="AU60" s="76"/>
      <c r="AV60" s="76"/>
      <c r="AW60" s="76"/>
      <c r="AX60" s="76"/>
      <c r="AY60" s="80"/>
      <c r="AZ60" s="79"/>
      <c r="BA60" s="76"/>
      <c r="BB60" s="76"/>
      <c r="BC60" s="76"/>
      <c r="BD60" s="76"/>
      <c r="BE60" s="80"/>
      <c r="BF60" s="79"/>
      <c r="BG60" s="76"/>
      <c r="BH60" s="76"/>
      <c r="BI60" s="76"/>
      <c r="BJ60" s="76"/>
      <c r="BK60" s="80"/>
      <c r="BM60" s="125">
        <f t="shared" si="126"/>
        <v>0</v>
      </c>
      <c r="BN60" s="126">
        <f t="shared" si="127"/>
        <v>4</v>
      </c>
      <c r="BO60" s="126">
        <f t="shared" si="128"/>
        <v>0</v>
      </c>
      <c r="BP60" s="126">
        <f t="shared" si="129"/>
        <v>0</v>
      </c>
      <c r="BQ60" s="126">
        <f>SUM(AT60:AY60)</f>
        <v>0</v>
      </c>
      <c r="BR60" s="126">
        <f t="shared" si="130"/>
        <v>0</v>
      </c>
      <c r="BS60" s="127">
        <f t="shared" si="131"/>
        <v>0</v>
      </c>
      <c r="BT60" s="74"/>
      <c r="BU60" s="125">
        <f t="shared" si="132"/>
        <v>0</v>
      </c>
      <c r="BV60" s="126">
        <f t="shared" si="133"/>
        <v>4</v>
      </c>
      <c r="BW60" s="126">
        <f t="shared" si="134"/>
        <v>0</v>
      </c>
      <c r="BX60" s="126">
        <f t="shared" si="135"/>
        <v>0</v>
      </c>
      <c r="BY60" s="126">
        <f t="shared" si="136"/>
        <v>0</v>
      </c>
      <c r="BZ60" s="126">
        <f t="shared" si="136"/>
        <v>0</v>
      </c>
      <c r="CA60" s="126">
        <f t="shared" si="136"/>
        <v>0</v>
      </c>
    </row>
    <row r="61" spans="1:79">
      <c r="A61" s="147" t="str">
        <f t="shared" si="5"/>
        <v>D</v>
      </c>
      <c r="B61" s="148">
        <f t="shared" si="6"/>
        <v>40000</v>
      </c>
      <c r="C61" s="149" t="s">
        <v>83</v>
      </c>
      <c r="D61" s="150" t="s">
        <v>84</v>
      </c>
      <c r="E61" s="150" t="s">
        <v>0</v>
      </c>
      <c r="F61" s="145" t="s">
        <v>72</v>
      </c>
      <c r="G61" s="150" t="s">
        <v>0</v>
      </c>
      <c r="H61" s="150" t="s">
        <v>0</v>
      </c>
      <c r="I61" s="150" t="s">
        <v>0</v>
      </c>
      <c r="J61" s="151" t="s">
        <v>0</v>
      </c>
      <c r="K61" s="13">
        <v>1.2</v>
      </c>
      <c r="L61" s="12" t="s">
        <v>67</v>
      </c>
      <c r="M61" s="13">
        <v>0.9</v>
      </c>
      <c r="N61" s="13">
        <v>0</v>
      </c>
      <c r="O61" s="14">
        <v>0.9</v>
      </c>
      <c r="P61" s="113">
        <f t="shared" si="121"/>
        <v>1.2</v>
      </c>
      <c r="Q61" s="114">
        <f t="shared" si="122"/>
        <v>0</v>
      </c>
      <c r="R61" s="114">
        <f t="shared" si="123"/>
        <v>0.9</v>
      </c>
      <c r="S61" s="114">
        <f t="shared" si="124"/>
        <v>0</v>
      </c>
      <c r="T61" s="93">
        <f t="shared" si="125"/>
        <v>1</v>
      </c>
      <c r="U61" t="s">
        <v>0</v>
      </c>
      <c r="V61" s="79"/>
      <c r="W61" s="76"/>
      <c r="X61" s="76"/>
      <c r="Y61" s="76"/>
      <c r="Z61" s="76"/>
      <c r="AA61" s="80"/>
      <c r="AB61" s="79"/>
      <c r="AC61" s="76"/>
      <c r="AD61" s="76"/>
      <c r="AE61" s="76"/>
      <c r="AF61" s="76"/>
      <c r="AG61" s="80"/>
      <c r="AH61" s="79"/>
      <c r="AI61" s="76"/>
      <c r="AJ61" s="76"/>
      <c r="AK61" s="76"/>
      <c r="AL61" s="76"/>
      <c r="AM61" s="80"/>
      <c r="AN61" s="79"/>
      <c r="AO61" s="76"/>
      <c r="AP61" s="76"/>
      <c r="AQ61" s="76"/>
      <c r="AR61" s="76"/>
      <c r="AS61" s="80"/>
      <c r="AT61" s="79"/>
      <c r="AU61" s="76"/>
      <c r="AV61" s="76"/>
      <c r="AW61" s="76"/>
      <c r="AX61" s="76"/>
      <c r="AY61" s="80">
        <v>1.2</v>
      </c>
      <c r="AZ61" s="79"/>
      <c r="BA61" s="76"/>
      <c r="BB61" s="76"/>
      <c r="BC61" s="76"/>
      <c r="BD61" s="76"/>
      <c r="BE61" s="80"/>
      <c r="BF61" s="79"/>
      <c r="BG61" s="76"/>
      <c r="BH61" s="76"/>
      <c r="BI61" s="76"/>
      <c r="BJ61" s="76"/>
      <c r="BK61" s="80"/>
      <c r="BM61" s="125">
        <f t="shared" si="126"/>
        <v>0</v>
      </c>
      <c r="BN61" s="126">
        <f t="shared" si="127"/>
        <v>0</v>
      </c>
      <c r="BO61" s="126">
        <f t="shared" si="128"/>
        <v>0</v>
      </c>
      <c r="BP61" s="126">
        <f t="shared" si="129"/>
        <v>0</v>
      </c>
      <c r="BQ61" s="126">
        <f>SUM(AT61:AY61)</f>
        <v>1.2</v>
      </c>
      <c r="BR61" s="126">
        <f t="shared" si="130"/>
        <v>0</v>
      </c>
      <c r="BS61" s="127">
        <f t="shared" si="131"/>
        <v>0</v>
      </c>
      <c r="BT61" s="74"/>
      <c r="BU61" s="125">
        <f t="shared" si="132"/>
        <v>0</v>
      </c>
      <c r="BV61" s="126">
        <f t="shared" si="133"/>
        <v>0</v>
      </c>
      <c r="BW61" s="126">
        <f t="shared" si="134"/>
        <v>0</v>
      </c>
      <c r="BX61" s="126">
        <f t="shared" si="135"/>
        <v>0</v>
      </c>
      <c r="BY61" s="126">
        <f t="shared" si="136"/>
        <v>0.9</v>
      </c>
      <c r="BZ61" s="126">
        <f t="shared" si="136"/>
        <v>0</v>
      </c>
      <c r="CA61" s="126">
        <f t="shared" si="136"/>
        <v>0</v>
      </c>
    </row>
    <row r="62" spans="1:79" ht="15.75">
      <c r="A62" s="152" t="str">
        <f t="shared" si="5"/>
        <v>P</v>
      </c>
      <c r="B62" s="153">
        <f t="shared" si="6"/>
        <v>40000</v>
      </c>
      <c r="C62" s="154" t="s">
        <v>86</v>
      </c>
      <c r="D62" s="155" t="s">
        <v>87</v>
      </c>
      <c r="E62" s="155" t="s">
        <v>0</v>
      </c>
      <c r="F62" s="156" t="s">
        <v>88</v>
      </c>
      <c r="G62" s="155" t="s">
        <v>0</v>
      </c>
      <c r="H62" s="155" t="s">
        <v>0</v>
      </c>
      <c r="I62" s="155" t="s">
        <v>0</v>
      </c>
      <c r="J62" s="157" t="s">
        <v>0</v>
      </c>
      <c r="K62" s="9">
        <v>13.5</v>
      </c>
      <c r="L62" s="8" t="s">
        <v>67</v>
      </c>
      <c r="M62" s="9">
        <v>60.13</v>
      </c>
      <c r="N62" s="9">
        <v>0</v>
      </c>
      <c r="O62" s="10">
        <v>60.13</v>
      </c>
      <c r="P62" s="111"/>
      <c r="Q62" s="112"/>
      <c r="R62" s="112">
        <f>SUMIFS(R63:R$415,$C63:$C$415,$C62)</f>
        <v>60.13</v>
      </c>
      <c r="S62" s="112">
        <f>SUMIFS(S63:S$415,$C63:$C$415,$C62)</f>
        <v>0</v>
      </c>
      <c r="T62" s="92">
        <f>R62/O62</f>
        <v>1</v>
      </c>
      <c r="V62" s="77"/>
      <c r="W62" s="75"/>
      <c r="X62" s="75"/>
      <c r="Y62" s="75"/>
      <c r="Z62" s="75"/>
      <c r="AA62" s="78"/>
      <c r="AB62" s="77"/>
      <c r="AC62" s="75"/>
      <c r="AD62" s="75"/>
      <c r="AE62" s="75"/>
      <c r="AF62" s="75"/>
      <c r="AG62" s="78"/>
      <c r="AH62" s="77"/>
      <c r="AI62" s="75"/>
      <c r="AJ62" s="75"/>
      <c r="AK62" s="75"/>
      <c r="AL62" s="75"/>
      <c r="AM62" s="78"/>
      <c r="AN62" s="77"/>
      <c r="AO62" s="75"/>
      <c r="AP62" s="75"/>
      <c r="AQ62" s="75"/>
      <c r="AR62" s="75"/>
      <c r="AS62" s="78"/>
      <c r="AT62" s="77"/>
      <c r="AU62" s="75"/>
      <c r="AV62" s="75"/>
      <c r="AW62" s="75"/>
      <c r="AX62" s="75"/>
      <c r="AY62" s="78"/>
      <c r="AZ62" s="77"/>
      <c r="BA62" s="75"/>
      <c r="BB62" s="75"/>
      <c r="BC62" s="75"/>
      <c r="BD62" s="75"/>
      <c r="BE62" s="78"/>
      <c r="BF62" s="77"/>
      <c r="BG62" s="75"/>
      <c r="BH62" s="75"/>
      <c r="BI62" s="75"/>
      <c r="BJ62" s="75"/>
      <c r="BK62" s="78"/>
      <c r="BM62" s="122"/>
      <c r="BN62" s="123"/>
      <c r="BO62" s="123"/>
      <c r="BP62" s="123"/>
      <c r="BQ62" s="123"/>
      <c r="BR62" s="123"/>
      <c r="BS62" s="124"/>
      <c r="BT62" s="74"/>
      <c r="BU62" s="122"/>
      <c r="BV62" s="123"/>
      <c r="BW62" s="123"/>
      <c r="BX62" s="123"/>
      <c r="BY62" s="123"/>
      <c r="BZ62" s="123"/>
      <c r="CA62" s="123"/>
    </row>
    <row r="63" spans="1:79">
      <c r="A63" s="147" t="str">
        <f t="shared" si="5"/>
        <v>D</v>
      </c>
      <c r="B63" s="148">
        <f t="shared" si="6"/>
        <v>40000</v>
      </c>
      <c r="C63" s="149" t="s">
        <v>86</v>
      </c>
      <c r="D63" s="150" t="s">
        <v>87</v>
      </c>
      <c r="E63" s="150" t="s">
        <v>0</v>
      </c>
      <c r="F63" s="145" t="s">
        <v>68</v>
      </c>
      <c r="G63" s="150" t="s">
        <v>0</v>
      </c>
      <c r="H63" s="150" t="s">
        <v>0</v>
      </c>
      <c r="I63" s="150" t="s">
        <v>0</v>
      </c>
      <c r="J63" s="151" t="s">
        <v>0</v>
      </c>
      <c r="K63" s="13">
        <v>1</v>
      </c>
      <c r="L63" s="12" t="s">
        <v>32</v>
      </c>
      <c r="M63" s="13">
        <v>6</v>
      </c>
      <c r="N63" s="13">
        <v>0</v>
      </c>
      <c r="O63" s="14">
        <v>6</v>
      </c>
      <c r="P63" s="113">
        <f t="shared" ref="P63:P67" si="137">SUM(BM63:BS63)</f>
        <v>1</v>
      </c>
      <c r="Q63" s="114">
        <f t="shared" ref="Q63:Q67" si="138">K63-P63</f>
        <v>0</v>
      </c>
      <c r="R63" s="114">
        <f t="shared" ref="R63:R67" si="139">SUM(BU63:CA63)</f>
        <v>6</v>
      </c>
      <c r="S63" s="114">
        <f t="shared" ref="S63:S67" si="140">O63-R63</f>
        <v>0</v>
      </c>
      <c r="T63" s="93">
        <f t="shared" ref="T63:T67" si="141">R63/O63</f>
        <v>1</v>
      </c>
      <c r="U63" t="s">
        <v>0</v>
      </c>
      <c r="V63" s="79"/>
      <c r="W63" s="76">
        <v>1</v>
      </c>
      <c r="X63" s="76"/>
      <c r="Y63" s="76"/>
      <c r="Z63" s="76"/>
      <c r="AA63" s="80"/>
      <c r="AB63" s="79"/>
      <c r="AC63" s="76"/>
      <c r="AD63" s="76"/>
      <c r="AE63" s="76"/>
      <c r="AF63" s="76"/>
      <c r="AG63" s="80"/>
      <c r="AH63" s="79"/>
      <c r="AI63" s="76"/>
      <c r="AJ63" s="76"/>
      <c r="AK63" s="76"/>
      <c r="AL63" s="76"/>
      <c r="AM63" s="80"/>
      <c r="AN63" s="79"/>
      <c r="AO63" s="76"/>
      <c r="AP63" s="76"/>
      <c r="AQ63" s="76"/>
      <c r="AR63" s="76"/>
      <c r="AS63" s="80"/>
      <c r="AT63" s="79"/>
      <c r="AU63" s="76"/>
      <c r="AV63" s="76"/>
      <c r="AW63" s="76"/>
      <c r="AX63" s="76"/>
      <c r="AY63" s="80"/>
      <c r="AZ63" s="79"/>
      <c r="BA63" s="76"/>
      <c r="BB63" s="76"/>
      <c r="BC63" s="76"/>
      <c r="BD63" s="76"/>
      <c r="BE63" s="80"/>
      <c r="BF63" s="79"/>
      <c r="BG63" s="76"/>
      <c r="BH63" s="76"/>
      <c r="BI63" s="76"/>
      <c r="BJ63" s="76"/>
      <c r="BK63" s="80"/>
      <c r="BM63" s="125">
        <f t="shared" ref="BM63:BM67" si="142">SUM(V63:AA63)</f>
        <v>1</v>
      </c>
      <c r="BN63" s="126">
        <f t="shared" ref="BN63:BN67" si="143">SUM(AB63:AG63)</f>
        <v>0</v>
      </c>
      <c r="BO63" s="126">
        <f t="shared" ref="BO63:BO67" si="144">SUM(AH63:AM63)</f>
        <v>0</v>
      </c>
      <c r="BP63" s="126">
        <f t="shared" ref="BP63:BP67" si="145">SUM(AN63:AS63)</f>
        <v>0</v>
      </c>
      <c r="BQ63" s="126">
        <f>SUM(AT63:AY63)</f>
        <v>0</v>
      </c>
      <c r="BR63" s="126">
        <f t="shared" ref="BR63:BS67" si="146">SUM(AZ63:BE63)</f>
        <v>0</v>
      </c>
      <c r="BS63" s="127">
        <f t="shared" ref="BS63:BS67" si="147">SUM(BF63:BK63)</f>
        <v>0</v>
      </c>
      <c r="BT63" s="74"/>
      <c r="BU63" s="125">
        <f t="shared" ref="BU63:BU67" si="148">(BM63/$K63)*$O63</f>
        <v>6</v>
      </c>
      <c r="BV63" s="126">
        <f t="shared" ref="BV63:BV67" si="149">(BN63/$K63)*$O63</f>
        <v>0</v>
      </c>
      <c r="BW63" s="126">
        <f t="shared" ref="BW63:BW67" si="150">(BO63/$K63)*$O63</f>
        <v>0</v>
      </c>
      <c r="BX63" s="126">
        <f t="shared" ref="BX63:BX67" si="151">(BP63/$K63)*$O63</f>
        <v>0</v>
      </c>
      <c r="BY63" s="126">
        <f t="shared" ref="BY63:CA67" si="152">(BQ63/$K63)*$O63</f>
        <v>0</v>
      </c>
      <c r="BZ63" s="126">
        <f t="shared" si="152"/>
        <v>0</v>
      </c>
      <c r="CA63" s="126">
        <f t="shared" si="152"/>
        <v>0</v>
      </c>
    </row>
    <row r="64" spans="1:79">
      <c r="A64" s="147" t="str">
        <f t="shared" si="5"/>
        <v>D</v>
      </c>
      <c r="B64" s="148">
        <f t="shared" si="6"/>
        <v>40000</v>
      </c>
      <c r="C64" s="149" t="s">
        <v>86</v>
      </c>
      <c r="D64" s="150" t="s">
        <v>87</v>
      </c>
      <c r="E64" s="150" t="s">
        <v>0</v>
      </c>
      <c r="F64" s="145" t="s">
        <v>69</v>
      </c>
      <c r="G64" s="150" t="s">
        <v>0</v>
      </c>
      <c r="H64" s="150" t="s">
        <v>0</v>
      </c>
      <c r="I64" s="150" t="s">
        <v>0</v>
      </c>
      <c r="J64" s="151" t="s">
        <v>0</v>
      </c>
      <c r="K64" s="13">
        <v>8</v>
      </c>
      <c r="L64" s="12" t="s">
        <v>32</v>
      </c>
      <c r="M64" s="13">
        <v>16</v>
      </c>
      <c r="N64" s="13">
        <v>0</v>
      </c>
      <c r="O64" s="14">
        <v>16</v>
      </c>
      <c r="P64" s="113">
        <f t="shared" si="137"/>
        <v>8</v>
      </c>
      <c r="Q64" s="114">
        <f t="shared" si="138"/>
        <v>0</v>
      </c>
      <c r="R64" s="114">
        <f t="shared" si="139"/>
        <v>16</v>
      </c>
      <c r="S64" s="114">
        <f t="shared" si="140"/>
        <v>0</v>
      </c>
      <c r="T64" s="93">
        <f t="shared" si="141"/>
        <v>1</v>
      </c>
      <c r="U64" t="s">
        <v>0</v>
      </c>
      <c r="V64" s="79"/>
      <c r="W64" s="76"/>
      <c r="X64" s="76"/>
      <c r="Y64" s="76"/>
      <c r="Z64" s="76"/>
      <c r="AA64" s="80"/>
      <c r="AB64" s="79"/>
      <c r="AC64" s="76"/>
      <c r="AD64" s="76"/>
      <c r="AE64" s="76"/>
      <c r="AF64" s="76"/>
      <c r="AG64" s="80"/>
      <c r="AH64" s="79"/>
      <c r="AI64" s="76"/>
      <c r="AJ64" s="76"/>
      <c r="AK64" s="76"/>
      <c r="AL64" s="76"/>
      <c r="AM64" s="80"/>
      <c r="AN64" s="79"/>
      <c r="AO64" s="76"/>
      <c r="AP64" s="76"/>
      <c r="AQ64" s="76"/>
      <c r="AR64" s="76"/>
      <c r="AS64" s="80">
        <v>8</v>
      </c>
      <c r="AT64" s="79"/>
      <c r="AU64" s="76"/>
      <c r="AV64" s="76"/>
      <c r="AW64" s="76"/>
      <c r="AX64" s="76"/>
      <c r="AY64" s="80"/>
      <c r="AZ64" s="79"/>
      <c r="BA64" s="76"/>
      <c r="BB64" s="76"/>
      <c r="BC64" s="76"/>
      <c r="BD64" s="76"/>
      <c r="BE64" s="80"/>
      <c r="BF64" s="79"/>
      <c r="BG64" s="76"/>
      <c r="BH64" s="76"/>
      <c r="BI64" s="76"/>
      <c r="BJ64" s="76"/>
      <c r="BK64" s="80"/>
      <c r="BM64" s="125">
        <f t="shared" si="142"/>
        <v>0</v>
      </c>
      <c r="BN64" s="126">
        <f t="shared" si="143"/>
        <v>0</v>
      </c>
      <c r="BO64" s="126">
        <f t="shared" si="144"/>
        <v>0</v>
      </c>
      <c r="BP64" s="126">
        <f t="shared" si="145"/>
        <v>8</v>
      </c>
      <c r="BQ64" s="126">
        <f>SUM(AT64:AY64)</f>
        <v>0</v>
      </c>
      <c r="BR64" s="126">
        <f t="shared" si="146"/>
        <v>0</v>
      </c>
      <c r="BS64" s="127">
        <f t="shared" si="147"/>
        <v>0</v>
      </c>
      <c r="BT64" s="74"/>
      <c r="BU64" s="125">
        <f t="shared" si="148"/>
        <v>0</v>
      </c>
      <c r="BV64" s="126">
        <f t="shared" si="149"/>
        <v>0</v>
      </c>
      <c r="BW64" s="126">
        <f t="shared" si="150"/>
        <v>0</v>
      </c>
      <c r="BX64" s="126">
        <f t="shared" si="151"/>
        <v>16</v>
      </c>
      <c r="BY64" s="126">
        <f t="shared" si="152"/>
        <v>0</v>
      </c>
      <c r="BZ64" s="126">
        <f t="shared" si="152"/>
        <v>0</v>
      </c>
      <c r="CA64" s="126">
        <f t="shared" si="152"/>
        <v>0</v>
      </c>
    </row>
    <row r="65" spans="1:79">
      <c r="A65" s="147" t="str">
        <f t="shared" si="5"/>
        <v>D</v>
      </c>
      <c r="B65" s="148">
        <f t="shared" si="6"/>
        <v>40000</v>
      </c>
      <c r="C65" s="149" t="s">
        <v>86</v>
      </c>
      <c r="D65" s="150" t="s">
        <v>87</v>
      </c>
      <c r="E65" s="150" t="s">
        <v>0</v>
      </c>
      <c r="F65" s="145" t="s">
        <v>70</v>
      </c>
      <c r="G65" s="150" t="s">
        <v>0</v>
      </c>
      <c r="H65" s="150" t="s">
        <v>0</v>
      </c>
      <c r="I65" s="150" t="s">
        <v>0</v>
      </c>
      <c r="J65" s="151" t="s">
        <v>0</v>
      </c>
      <c r="K65" s="13">
        <v>8</v>
      </c>
      <c r="L65" s="12" t="s">
        <v>32</v>
      </c>
      <c r="M65" s="13">
        <v>20</v>
      </c>
      <c r="N65" s="13">
        <v>0</v>
      </c>
      <c r="O65" s="14">
        <v>20</v>
      </c>
      <c r="P65" s="113">
        <f t="shared" si="137"/>
        <v>8</v>
      </c>
      <c r="Q65" s="114">
        <f t="shared" si="138"/>
        <v>0</v>
      </c>
      <c r="R65" s="114">
        <f t="shared" si="139"/>
        <v>20</v>
      </c>
      <c r="S65" s="114">
        <f t="shared" si="140"/>
        <v>0</v>
      </c>
      <c r="T65" s="93">
        <f t="shared" si="141"/>
        <v>1</v>
      </c>
      <c r="U65" t="s">
        <v>0</v>
      </c>
      <c r="V65" s="79"/>
      <c r="W65" s="76"/>
      <c r="X65" s="76">
        <v>8</v>
      </c>
      <c r="Y65" s="76"/>
      <c r="Z65" s="76"/>
      <c r="AA65" s="80"/>
      <c r="AB65" s="79"/>
      <c r="AC65" s="76"/>
      <c r="AD65" s="76"/>
      <c r="AE65" s="76"/>
      <c r="AF65" s="76"/>
      <c r="AG65" s="80"/>
      <c r="AH65" s="79"/>
      <c r="AI65" s="76"/>
      <c r="AJ65" s="76"/>
      <c r="AK65" s="76"/>
      <c r="AL65" s="76"/>
      <c r="AM65" s="80"/>
      <c r="AN65" s="79"/>
      <c r="AO65" s="76"/>
      <c r="AP65" s="76"/>
      <c r="AQ65" s="76"/>
      <c r="AR65" s="76"/>
      <c r="AS65" s="80"/>
      <c r="AT65" s="79"/>
      <c r="AU65" s="76"/>
      <c r="AV65" s="76"/>
      <c r="AW65" s="76"/>
      <c r="AX65" s="76"/>
      <c r="AY65" s="80"/>
      <c r="AZ65" s="79"/>
      <c r="BA65" s="76"/>
      <c r="BB65" s="76"/>
      <c r="BC65" s="76"/>
      <c r="BD65" s="76"/>
      <c r="BE65" s="80"/>
      <c r="BF65" s="79"/>
      <c r="BG65" s="76"/>
      <c r="BH65" s="76"/>
      <c r="BI65" s="76"/>
      <c r="BJ65" s="76"/>
      <c r="BK65" s="80"/>
      <c r="BM65" s="125">
        <f t="shared" si="142"/>
        <v>8</v>
      </c>
      <c r="BN65" s="126">
        <f t="shared" si="143"/>
        <v>0</v>
      </c>
      <c r="BO65" s="126">
        <f t="shared" si="144"/>
        <v>0</v>
      </c>
      <c r="BP65" s="126">
        <f t="shared" si="145"/>
        <v>0</v>
      </c>
      <c r="BQ65" s="126">
        <f>SUM(AT65:AY65)</f>
        <v>0</v>
      </c>
      <c r="BR65" s="126">
        <f t="shared" si="146"/>
        <v>0</v>
      </c>
      <c r="BS65" s="127">
        <f t="shared" si="147"/>
        <v>0</v>
      </c>
      <c r="BT65" s="74"/>
      <c r="BU65" s="125">
        <f t="shared" si="148"/>
        <v>20</v>
      </c>
      <c r="BV65" s="126">
        <f t="shared" si="149"/>
        <v>0</v>
      </c>
      <c r="BW65" s="126">
        <f t="shared" si="150"/>
        <v>0</v>
      </c>
      <c r="BX65" s="126">
        <f t="shared" si="151"/>
        <v>0</v>
      </c>
      <c r="BY65" s="126">
        <f t="shared" si="152"/>
        <v>0</v>
      </c>
      <c r="BZ65" s="126">
        <f t="shared" si="152"/>
        <v>0</v>
      </c>
      <c r="CA65" s="126">
        <f t="shared" si="152"/>
        <v>0</v>
      </c>
    </row>
    <row r="66" spans="1:79">
      <c r="A66" s="147" t="str">
        <f t="shared" si="5"/>
        <v>D</v>
      </c>
      <c r="B66" s="148">
        <f t="shared" si="6"/>
        <v>40000</v>
      </c>
      <c r="C66" s="149" t="s">
        <v>86</v>
      </c>
      <c r="D66" s="150" t="s">
        <v>87</v>
      </c>
      <c r="E66" s="150" t="s">
        <v>0</v>
      </c>
      <c r="F66" s="145" t="s">
        <v>71</v>
      </c>
      <c r="G66" s="150" t="s">
        <v>0</v>
      </c>
      <c r="H66" s="150" t="s">
        <v>0</v>
      </c>
      <c r="I66" s="150" t="s">
        <v>0</v>
      </c>
      <c r="J66" s="151" t="s">
        <v>0</v>
      </c>
      <c r="K66" s="13">
        <v>8</v>
      </c>
      <c r="L66" s="12" t="s">
        <v>32</v>
      </c>
      <c r="M66" s="13">
        <v>8</v>
      </c>
      <c r="N66" s="13">
        <v>0</v>
      </c>
      <c r="O66" s="14">
        <v>8</v>
      </c>
      <c r="P66" s="113">
        <f t="shared" si="137"/>
        <v>8</v>
      </c>
      <c r="Q66" s="114">
        <f t="shared" si="138"/>
        <v>0</v>
      </c>
      <c r="R66" s="114">
        <f t="shared" si="139"/>
        <v>8</v>
      </c>
      <c r="S66" s="114">
        <f t="shared" si="140"/>
        <v>0</v>
      </c>
      <c r="T66" s="93">
        <f t="shared" si="141"/>
        <v>1</v>
      </c>
      <c r="U66" t="s">
        <v>0</v>
      </c>
      <c r="V66" s="79"/>
      <c r="W66" s="76"/>
      <c r="X66" s="76"/>
      <c r="Y66" s="76"/>
      <c r="Z66" s="76"/>
      <c r="AA66" s="80"/>
      <c r="AB66" s="79"/>
      <c r="AC66" s="76">
        <v>8</v>
      </c>
      <c r="AD66" s="76"/>
      <c r="AE66" s="76"/>
      <c r="AF66" s="76"/>
      <c r="AG66" s="80"/>
      <c r="AH66" s="79"/>
      <c r="AI66" s="76"/>
      <c r="AJ66" s="76"/>
      <c r="AK66" s="76"/>
      <c r="AL66" s="76"/>
      <c r="AM66" s="80"/>
      <c r="AN66" s="79"/>
      <c r="AO66" s="76"/>
      <c r="AP66" s="76"/>
      <c r="AQ66" s="76"/>
      <c r="AR66" s="76"/>
      <c r="AS66" s="80"/>
      <c r="AT66" s="79"/>
      <c r="AU66" s="76"/>
      <c r="AV66" s="76"/>
      <c r="AW66" s="76"/>
      <c r="AX66" s="76"/>
      <c r="AY66" s="80"/>
      <c r="AZ66" s="79"/>
      <c r="BA66" s="76"/>
      <c r="BB66" s="76"/>
      <c r="BC66" s="76"/>
      <c r="BD66" s="76"/>
      <c r="BE66" s="80"/>
      <c r="BF66" s="79"/>
      <c r="BG66" s="76"/>
      <c r="BH66" s="76"/>
      <c r="BI66" s="76"/>
      <c r="BJ66" s="76"/>
      <c r="BK66" s="80"/>
      <c r="BM66" s="125">
        <f t="shared" si="142"/>
        <v>0</v>
      </c>
      <c r="BN66" s="126">
        <f t="shared" si="143"/>
        <v>8</v>
      </c>
      <c r="BO66" s="126">
        <f t="shared" si="144"/>
        <v>0</v>
      </c>
      <c r="BP66" s="126">
        <f t="shared" si="145"/>
        <v>0</v>
      </c>
      <c r="BQ66" s="126">
        <f>SUM(AT66:AY66)</f>
        <v>0</v>
      </c>
      <c r="BR66" s="126">
        <f t="shared" si="146"/>
        <v>0</v>
      </c>
      <c r="BS66" s="127">
        <f t="shared" si="147"/>
        <v>0</v>
      </c>
      <c r="BT66" s="74"/>
      <c r="BU66" s="125">
        <f t="shared" si="148"/>
        <v>0</v>
      </c>
      <c r="BV66" s="126">
        <f t="shared" si="149"/>
        <v>8</v>
      </c>
      <c r="BW66" s="126">
        <f t="shared" si="150"/>
        <v>0</v>
      </c>
      <c r="BX66" s="126">
        <f t="shared" si="151"/>
        <v>0</v>
      </c>
      <c r="BY66" s="126">
        <f t="shared" si="152"/>
        <v>0</v>
      </c>
      <c r="BZ66" s="126">
        <f t="shared" si="152"/>
        <v>0</v>
      </c>
      <c r="CA66" s="126">
        <f t="shared" si="152"/>
        <v>0</v>
      </c>
    </row>
    <row r="67" spans="1:79">
      <c r="A67" s="147" t="str">
        <f t="shared" si="5"/>
        <v>D</v>
      </c>
      <c r="B67" s="148">
        <f t="shared" si="6"/>
        <v>40000</v>
      </c>
      <c r="C67" s="149" t="s">
        <v>86</v>
      </c>
      <c r="D67" s="150" t="s">
        <v>87</v>
      </c>
      <c r="E67" s="150" t="s">
        <v>0</v>
      </c>
      <c r="F67" s="145" t="s">
        <v>72</v>
      </c>
      <c r="G67" s="150" t="s">
        <v>0</v>
      </c>
      <c r="H67" s="150" t="s">
        <v>0</v>
      </c>
      <c r="I67" s="150" t="s">
        <v>0</v>
      </c>
      <c r="J67" s="151" t="s">
        <v>0</v>
      </c>
      <c r="K67" s="13">
        <v>13.5</v>
      </c>
      <c r="L67" s="12" t="s">
        <v>67</v>
      </c>
      <c r="M67" s="13">
        <v>10.130000000000001</v>
      </c>
      <c r="N67" s="13">
        <v>0</v>
      </c>
      <c r="O67" s="14">
        <v>10.130000000000001</v>
      </c>
      <c r="P67" s="113">
        <f t="shared" si="137"/>
        <v>13.5</v>
      </c>
      <c r="Q67" s="114">
        <f t="shared" si="138"/>
        <v>0</v>
      </c>
      <c r="R67" s="114">
        <f t="shared" si="139"/>
        <v>10.130000000000001</v>
      </c>
      <c r="S67" s="114">
        <f t="shared" si="140"/>
        <v>0</v>
      </c>
      <c r="T67" s="93">
        <f t="shared" si="141"/>
        <v>1</v>
      </c>
      <c r="U67" t="s">
        <v>0</v>
      </c>
      <c r="V67" s="79"/>
      <c r="W67" s="76"/>
      <c r="X67" s="76"/>
      <c r="Y67" s="76"/>
      <c r="Z67" s="76"/>
      <c r="AA67" s="80"/>
      <c r="AB67" s="79"/>
      <c r="AC67" s="76"/>
      <c r="AD67" s="76"/>
      <c r="AE67" s="76"/>
      <c r="AF67" s="76">
        <v>13.5</v>
      </c>
      <c r="AG67" s="80"/>
      <c r="AH67" s="79"/>
      <c r="AI67" s="76"/>
      <c r="AJ67" s="76"/>
      <c r="AK67" s="76"/>
      <c r="AL67" s="76"/>
      <c r="AM67" s="80"/>
      <c r="AN67" s="79"/>
      <c r="AO67" s="76"/>
      <c r="AP67" s="76"/>
      <c r="AQ67" s="76"/>
      <c r="AR67" s="76"/>
      <c r="AS67" s="80"/>
      <c r="AT67" s="79"/>
      <c r="AU67" s="76"/>
      <c r="AV67" s="76"/>
      <c r="AW67" s="76"/>
      <c r="AX67" s="76"/>
      <c r="AY67" s="80"/>
      <c r="AZ67" s="79"/>
      <c r="BA67" s="76"/>
      <c r="BB67" s="76"/>
      <c r="BC67" s="76"/>
      <c r="BD67" s="76"/>
      <c r="BE67" s="80"/>
      <c r="BF67" s="79"/>
      <c r="BG67" s="76"/>
      <c r="BH67" s="76"/>
      <c r="BI67" s="76"/>
      <c r="BJ67" s="76"/>
      <c r="BK67" s="80"/>
      <c r="BM67" s="125">
        <f t="shared" si="142"/>
        <v>0</v>
      </c>
      <c r="BN67" s="126">
        <f t="shared" si="143"/>
        <v>13.5</v>
      </c>
      <c r="BO67" s="126">
        <f t="shared" si="144"/>
        <v>0</v>
      </c>
      <c r="BP67" s="126">
        <f t="shared" si="145"/>
        <v>0</v>
      </c>
      <c r="BQ67" s="126">
        <f>SUM(AT67:AY67)</f>
        <v>0</v>
      </c>
      <c r="BR67" s="126">
        <f t="shared" si="146"/>
        <v>0</v>
      </c>
      <c r="BS67" s="127">
        <f t="shared" si="147"/>
        <v>0</v>
      </c>
      <c r="BT67" s="74"/>
      <c r="BU67" s="125">
        <f t="shared" si="148"/>
        <v>0</v>
      </c>
      <c r="BV67" s="126">
        <f t="shared" si="149"/>
        <v>10.130000000000001</v>
      </c>
      <c r="BW67" s="126">
        <f t="shared" si="150"/>
        <v>0</v>
      </c>
      <c r="BX67" s="126">
        <f t="shared" si="151"/>
        <v>0</v>
      </c>
      <c r="BY67" s="126">
        <f t="shared" si="152"/>
        <v>0</v>
      </c>
      <c r="BZ67" s="126">
        <f t="shared" si="152"/>
        <v>0</v>
      </c>
      <c r="CA67" s="126">
        <f t="shared" si="152"/>
        <v>0</v>
      </c>
    </row>
    <row r="68" spans="1:79" ht="15.75">
      <c r="A68" s="152" t="str">
        <f t="shared" si="5"/>
        <v>P</v>
      </c>
      <c r="B68" s="153">
        <f t="shared" si="6"/>
        <v>40000</v>
      </c>
      <c r="C68" s="154" t="s">
        <v>89</v>
      </c>
      <c r="D68" s="155" t="s">
        <v>90</v>
      </c>
      <c r="E68" s="155" t="s">
        <v>0</v>
      </c>
      <c r="F68" s="156" t="s">
        <v>88</v>
      </c>
      <c r="G68" s="155" t="s">
        <v>0</v>
      </c>
      <c r="H68" s="155" t="s">
        <v>0</v>
      </c>
      <c r="I68" s="155" t="s">
        <v>0</v>
      </c>
      <c r="J68" s="157" t="s">
        <v>0</v>
      </c>
      <c r="K68" s="9">
        <v>13.5</v>
      </c>
      <c r="L68" s="8" t="s">
        <v>67</v>
      </c>
      <c r="M68" s="9">
        <v>60.13</v>
      </c>
      <c r="N68" s="9">
        <v>0</v>
      </c>
      <c r="O68" s="10">
        <v>60.13</v>
      </c>
      <c r="P68" s="111"/>
      <c r="Q68" s="112"/>
      <c r="R68" s="112">
        <f>SUMIFS(R69:R$415,$C69:$C$415,$C68)</f>
        <v>60.13</v>
      </c>
      <c r="S68" s="112">
        <f>SUMIFS(S69:S$415,$C69:$C$415,$C68)</f>
        <v>0</v>
      </c>
      <c r="T68" s="92">
        <f>R68/O68</f>
        <v>1</v>
      </c>
      <c r="V68" s="77"/>
      <c r="W68" s="75"/>
      <c r="X68" s="75"/>
      <c r="Y68" s="75"/>
      <c r="Z68" s="75"/>
      <c r="AA68" s="78"/>
      <c r="AB68" s="77"/>
      <c r="AC68" s="75"/>
      <c r="AD68" s="75"/>
      <c r="AE68" s="75"/>
      <c r="AF68" s="75"/>
      <c r="AG68" s="78"/>
      <c r="AH68" s="77"/>
      <c r="AI68" s="75"/>
      <c r="AJ68" s="75"/>
      <c r="AK68" s="75"/>
      <c r="AL68" s="75"/>
      <c r="AM68" s="78"/>
      <c r="AN68" s="77"/>
      <c r="AO68" s="75"/>
      <c r="AP68" s="75"/>
      <c r="AQ68" s="75"/>
      <c r="AR68" s="75"/>
      <c r="AS68" s="78"/>
      <c r="AT68" s="77"/>
      <c r="AU68" s="75"/>
      <c r="AV68" s="75"/>
      <c r="AW68" s="75"/>
      <c r="AX68" s="75"/>
      <c r="AY68" s="78"/>
      <c r="AZ68" s="77"/>
      <c r="BA68" s="75"/>
      <c r="BB68" s="75"/>
      <c r="BC68" s="75"/>
      <c r="BD68" s="75"/>
      <c r="BE68" s="78"/>
      <c r="BF68" s="77"/>
      <c r="BG68" s="75"/>
      <c r="BH68" s="75"/>
      <c r="BI68" s="75"/>
      <c r="BJ68" s="75"/>
      <c r="BK68" s="78"/>
      <c r="BM68" s="122"/>
      <c r="BN68" s="123"/>
      <c r="BO68" s="123"/>
      <c r="BP68" s="123"/>
      <c r="BQ68" s="123"/>
      <c r="BR68" s="123"/>
      <c r="BS68" s="124"/>
      <c r="BT68" s="74"/>
      <c r="BU68" s="122"/>
      <c r="BV68" s="123"/>
      <c r="BW68" s="123"/>
      <c r="BX68" s="123"/>
      <c r="BY68" s="123"/>
      <c r="BZ68" s="123"/>
      <c r="CA68" s="123"/>
    </row>
    <row r="69" spans="1:79">
      <c r="A69" s="147" t="str">
        <f t="shared" si="5"/>
        <v>D</v>
      </c>
      <c r="B69" s="148">
        <f t="shared" si="6"/>
        <v>40000</v>
      </c>
      <c r="C69" s="149" t="s">
        <v>89</v>
      </c>
      <c r="D69" s="150" t="s">
        <v>90</v>
      </c>
      <c r="E69" s="150" t="s">
        <v>0</v>
      </c>
      <c r="F69" s="145" t="s">
        <v>68</v>
      </c>
      <c r="G69" s="150" t="s">
        <v>0</v>
      </c>
      <c r="H69" s="150" t="s">
        <v>0</v>
      </c>
      <c r="I69" s="150" t="s">
        <v>0</v>
      </c>
      <c r="J69" s="151" t="s">
        <v>0</v>
      </c>
      <c r="K69" s="13">
        <v>1</v>
      </c>
      <c r="L69" s="12" t="s">
        <v>32</v>
      </c>
      <c r="M69" s="13">
        <v>6</v>
      </c>
      <c r="N69" s="13">
        <v>0</v>
      </c>
      <c r="O69" s="14">
        <v>6</v>
      </c>
      <c r="P69" s="113">
        <f t="shared" ref="P69:P73" si="153">SUM(BM69:BS69)</f>
        <v>1</v>
      </c>
      <c r="Q69" s="114">
        <f t="shared" ref="Q69:Q73" si="154">K69-P69</f>
        <v>0</v>
      </c>
      <c r="R69" s="114">
        <f t="shared" ref="R69:R73" si="155">SUM(BU69:CA69)</f>
        <v>6</v>
      </c>
      <c r="S69" s="114">
        <f t="shared" ref="S69:S73" si="156">O69-R69</f>
        <v>0</v>
      </c>
      <c r="T69" s="93">
        <f t="shared" ref="T69:T73" si="157">R69/O69</f>
        <v>1</v>
      </c>
      <c r="U69" t="s">
        <v>0</v>
      </c>
      <c r="V69" s="79"/>
      <c r="W69" s="76">
        <v>1</v>
      </c>
      <c r="X69" s="76"/>
      <c r="Y69" s="76"/>
      <c r="Z69" s="76"/>
      <c r="AA69" s="80"/>
      <c r="AB69" s="79"/>
      <c r="AC69" s="76"/>
      <c r="AD69" s="76"/>
      <c r="AE69" s="76"/>
      <c r="AF69" s="76"/>
      <c r="AG69" s="80"/>
      <c r="AH69" s="79"/>
      <c r="AI69" s="76"/>
      <c r="AJ69" s="76"/>
      <c r="AK69" s="76"/>
      <c r="AL69" s="76"/>
      <c r="AM69" s="80"/>
      <c r="AN69" s="79"/>
      <c r="AO69" s="76"/>
      <c r="AP69" s="76"/>
      <c r="AQ69" s="76"/>
      <c r="AR69" s="76"/>
      <c r="AS69" s="80"/>
      <c r="AT69" s="79"/>
      <c r="AU69" s="76"/>
      <c r="AV69" s="76"/>
      <c r="AW69" s="76"/>
      <c r="AX69" s="76"/>
      <c r="AY69" s="80"/>
      <c r="AZ69" s="79"/>
      <c r="BA69" s="76"/>
      <c r="BB69" s="76"/>
      <c r="BC69" s="76"/>
      <c r="BD69" s="76"/>
      <c r="BE69" s="80"/>
      <c r="BF69" s="79"/>
      <c r="BG69" s="76"/>
      <c r="BH69" s="76"/>
      <c r="BI69" s="76"/>
      <c r="BJ69" s="76"/>
      <c r="BK69" s="80"/>
      <c r="BM69" s="125">
        <f t="shared" ref="BM69:BM73" si="158">SUM(V69:AA69)</f>
        <v>1</v>
      </c>
      <c r="BN69" s="126">
        <f t="shared" ref="BN69:BN73" si="159">SUM(AB69:AG69)</f>
        <v>0</v>
      </c>
      <c r="BO69" s="126">
        <f t="shared" ref="BO69:BO73" si="160">SUM(AH69:AM69)</f>
        <v>0</v>
      </c>
      <c r="BP69" s="126">
        <f t="shared" ref="BP69:BP73" si="161">SUM(AN69:AS69)</f>
        <v>0</v>
      </c>
      <c r="BQ69" s="126">
        <f>SUM(AT69:AY69)</f>
        <v>0</v>
      </c>
      <c r="BR69" s="126">
        <f t="shared" ref="BR69:BS73" si="162">SUM(AZ69:BE69)</f>
        <v>0</v>
      </c>
      <c r="BS69" s="127">
        <f t="shared" ref="BS69:BS73" si="163">SUM(BF69:BK69)</f>
        <v>0</v>
      </c>
      <c r="BT69" s="74"/>
      <c r="BU69" s="125">
        <f t="shared" ref="BU69:BU73" si="164">(BM69/$K69)*$O69</f>
        <v>6</v>
      </c>
      <c r="BV69" s="126">
        <f t="shared" ref="BV69:BV73" si="165">(BN69/$K69)*$O69</f>
        <v>0</v>
      </c>
      <c r="BW69" s="126">
        <f t="shared" ref="BW69:BW73" si="166">(BO69/$K69)*$O69</f>
        <v>0</v>
      </c>
      <c r="BX69" s="126">
        <f t="shared" ref="BX69:BX73" si="167">(BP69/$K69)*$O69</f>
        <v>0</v>
      </c>
      <c r="BY69" s="126">
        <f t="shared" ref="BY69:CA73" si="168">(BQ69/$K69)*$O69</f>
        <v>0</v>
      </c>
      <c r="BZ69" s="126">
        <f t="shared" si="168"/>
        <v>0</v>
      </c>
      <c r="CA69" s="126">
        <f t="shared" si="168"/>
        <v>0</v>
      </c>
    </row>
    <row r="70" spans="1:79">
      <c r="A70" s="147" t="str">
        <f t="shared" si="5"/>
        <v>D</v>
      </c>
      <c r="B70" s="148">
        <f t="shared" si="6"/>
        <v>40000</v>
      </c>
      <c r="C70" s="149" t="s">
        <v>89</v>
      </c>
      <c r="D70" s="150" t="s">
        <v>90</v>
      </c>
      <c r="E70" s="150" t="s">
        <v>0</v>
      </c>
      <c r="F70" s="145" t="s">
        <v>69</v>
      </c>
      <c r="G70" s="150" t="s">
        <v>0</v>
      </c>
      <c r="H70" s="150" t="s">
        <v>0</v>
      </c>
      <c r="I70" s="150" t="s">
        <v>0</v>
      </c>
      <c r="J70" s="151" t="s">
        <v>0</v>
      </c>
      <c r="K70" s="13">
        <v>8</v>
      </c>
      <c r="L70" s="12" t="s">
        <v>32</v>
      </c>
      <c r="M70" s="13">
        <v>16</v>
      </c>
      <c r="N70" s="13">
        <v>0</v>
      </c>
      <c r="O70" s="14">
        <v>16</v>
      </c>
      <c r="P70" s="113">
        <f t="shared" si="153"/>
        <v>8</v>
      </c>
      <c r="Q70" s="114">
        <f t="shared" si="154"/>
        <v>0</v>
      </c>
      <c r="R70" s="114">
        <f t="shared" si="155"/>
        <v>16</v>
      </c>
      <c r="S70" s="114">
        <f t="shared" si="156"/>
        <v>0</v>
      </c>
      <c r="T70" s="93">
        <f t="shared" si="157"/>
        <v>1</v>
      </c>
      <c r="U70" t="s">
        <v>0</v>
      </c>
      <c r="V70" s="79"/>
      <c r="W70" s="76"/>
      <c r="X70" s="76"/>
      <c r="Y70" s="76"/>
      <c r="Z70" s="76"/>
      <c r="AA70" s="80"/>
      <c r="AB70" s="79"/>
      <c r="AC70" s="76"/>
      <c r="AD70" s="76"/>
      <c r="AE70" s="76"/>
      <c r="AF70" s="76"/>
      <c r="AG70" s="80"/>
      <c r="AH70" s="79"/>
      <c r="AI70" s="76"/>
      <c r="AJ70" s="76"/>
      <c r="AK70" s="76"/>
      <c r="AL70" s="76"/>
      <c r="AM70" s="80"/>
      <c r="AN70" s="79"/>
      <c r="AO70" s="76"/>
      <c r="AP70" s="76"/>
      <c r="AQ70" s="76"/>
      <c r="AR70" s="76"/>
      <c r="AS70" s="80">
        <v>8</v>
      </c>
      <c r="AT70" s="79"/>
      <c r="AU70" s="76"/>
      <c r="AV70" s="76"/>
      <c r="AW70" s="76"/>
      <c r="AX70" s="76"/>
      <c r="AY70" s="80"/>
      <c r="AZ70" s="79"/>
      <c r="BA70" s="76"/>
      <c r="BB70" s="76"/>
      <c r="BC70" s="76"/>
      <c r="BD70" s="76"/>
      <c r="BE70" s="80"/>
      <c r="BF70" s="79"/>
      <c r="BG70" s="76"/>
      <c r="BH70" s="76"/>
      <c r="BI70" s="76"/>
      <c r="BJ70" s="76"/>
      <c r="BK70" s="80"/>
      <c r="BM70" s="125">
        <f t="shared" si="158"/>
        <v>0</v>
      </c>
      <c r="BN70" s="126">
        <f t="shared" si="159"/>
        <v>0</v>
      </c>
      <c r="BO70" s="126">
        <f t="shared" si="160"/>
        <v>0</v>
      </c>
      <c r="BP70" s="126">
        <f t="shared" si="161"/>
        <v>8</v>
      </c>
      <c r="BQ70" s="126">
        <f>SUM(AT70:AY70)</f>
        <v>0</v>
      </c>
      <c r="BR70" s="126">
        <f t="shared" si="162"/>
        <v>0</v>
      </c>
      <c r="BS70" s="127">
        <f t="shared" si="163"/>
        <v>0</v>
      </c>
      <c r="BT70" s="74"/>
      <c r="BU70" s="125">
        <f t="shared" si="164"/>
        <v>0</v>
      </c>
      <c r="BV70" s="126">
        <f t="shared" si="165"/>
        <v>0</v>
      </c>
      <c r="BW70" s="126">
        <f t="shared" si="166"/>
        <v>0</v>
      </c>
      <c r="BX70" s="126">
        <f t="shared" si="167"/>
        <v>16</v>
      </c>
      <c r="BY70" s="126">
        <f t="shared" si="168"/>
        <v>0</v>
      </c>
      <c r="BZ70" s="126">
        <f t="shared" si="168"/>
        <v>0</v>
      </c>
      <c r="CA70" s="126">
        <f t="shared" si="168"/>
        <v>0</v>
      </c>
    </row>
    <row r="71" spans="1:79">
      <c r="A71" s="147" t="str">
        <f t="shared" si="5"/>
        <v>D</v>
      </c>
      <c r="B71" s="148">
        <f t="shared" si="6"/>
        <v>40000</v>
      </c>
      <c r="C71" s="149" t="s">
        <v>89</v>
      </c>
      <c r="D71" s="150" t="s">
        <v>90</v>
      </c>
      <c r="E71" s="150" t="s">
        <v>0</v>
      </c>
      <c r="F71" s="145" t="s">
        <v>70</v>
      </c>
      <c r="G71" s="150" t="s">
        <v>0</v>
      </c>
      <c r="H71" s="150" t="s">
        <v>0</v>
      </c>
      <c r="I71" s="150" t="s">
        <v>0</v>
      </c>
      <c r="J71" s="151" t="s">
        <v>0</v>
      </c>
      <c r="K71" s="13">
        <v>8</v>
      </c>
      <c r="L71" s="12" t="s">
        <v>32</v>
      </c>
      <c r="M71" s="13">
        <v>20</v>
      </c>
      <c r="N71" s="13">
        <v>0</v>
      </c>
      <c r="O71" s="14">
        <v>20</v>
      </c>
      <c r="P71" s="113">
        <f t="shared" si="153"/>
        <v>8</v>
      </c>
      <c r="Q71" s="114">
        <f t="shared" si="154"/>
        <v>0</v>
      </c>
      <c r="R71" s="114">
        <f t="shared" si="155"/>
        <v>20</v>
      </c>
      <c r="S71" s="114">
        <f t="shared" si="156"/>
        <v>0</v>
      </c>
      <c r="T71" s="93">
        <f t="shared" si="157"/>
        <v>1</v>
      </c>
      <c r="U71" t="s">
        <v>0</v>
      </c>
      <c r="V71" s="79"/>
      <c r="W71" s="76"/>
      <c r="X71" s="76">
        <v>8</v>
      </c>
      <c r="Y71" s="76"/>
      <c r="Z71" s="76"/>
      <c r="AA71" s="80"/>
      <c r="AB71" s="79"/>
      <c r="AC71" s="76"/>
      <c r="AD71" s="76"/>
      <c r="AE71" s="76"/>
      <c r="AF71" s="76"/>
      <c r="AG71" s="80"/>
      <c r="AH71" s="79"/>
      <c r="AI71" s="76"/>
      <c r="AJ71" s="76"/>
      <c r="AK71" s="76"/>
      <c r="AL71" s="76"/>
      <c r="AM71" s="80"/>
      <c r="AN71" s="79"/>
      <c r="AO71" s="76"/>
      <c r="AP71" s="76"/>
      <c r="AQ71" s="76"/>
      <c r="AR71" s="76"/>
      <c r="AS71" s="80"/>
      <c r="AT71" s="79"/>
      <c r="AU71" s="76"/>
      <c r="AV71" s="76"/>
      <c r="AW71" s="76"/>
      <c r="AX71" s="76"/>
      <c r="AY71" s="80"/>
      <c r="AZ71" s="79"/>
      <c r="BA71" s="76"/>
      <c r="BB71" s="76"/>
      <c r="BC71" s="76"/>
      <c r="BD71" s="76"/>
      <c r="BE71" s="80"/>
      <c r="BF71" s="79"/>
      <c r="BG71" s="76"/>
      <c r="BH71" s="76"/>
      <c r="BI71" s="76"/>
      <c r="BJ71" s="76"/>
      <c r="BK71" s="80"/>
      <c r="BM71" s="125">
        <f t="shared" si="158"/>
        <v>8</v>
      </c>
      <c r="BN71" s="126">
        <f t="shared" si="159"/>
        <v>0</v>
      </c>
      <c r="BO71" s="126">
        <f t="shared" si="160"/>
        <v>0</v>
      </c>
      <c r="BP71" s="126">
        <f t="shared" si="161"/>
        <v>0</v>
      </c>
      <c r="BQ71" s="126">
        <f>SUM(AT71:AY71)</f>
        <v>0</v>
      </c>
      <c r="BR71" s="126">
        <f t="shared" si="162"/>
        <v>0</v>
      </c>
      <c r="BS71" s="127">
        <f t="shared" si="163"/>
        <v>0</v>
      </c>
      <c r="BT71" s="74"/>
      <c r="BU71" s="125">
        <f t="shared" si="164"/>
        <v>20</v>
      </c>
      <c r="BV71" s="126">
        <f t="shared" si="165"/>
        <v>0</v>
      </c>
      <c r="BW71" s="126">
        <f t="shared" si="166"/>
        <v>0</v>
      </c>
      <c r="BX71" s="126">
        <f t="shared" si="167"/>
        <v>0</v>
      </c>
      <c r="BY71" s="126">
        <f t="shared" si="168"/>
        <v>0</v>
      </c>
      <c r="BZ71" s="126">
        <f t="shared" si="168"/>
        <v>0</v>
      </c>
      <c r="CA71" s="126">
        <f t="shared" si="168"/>
        <v>0</v>
      </c>
    </row>
    <row r="72" spans="1:79">
      <c r="A72" s="147" t="str">
        <f t="shared" si="5"/>
        <v>D</v>
      </c>
      <c r="B72" s="148">
        <f t="shared" si="6"/>
        <v>40000</v>
      </c>
      <c r="C72" s="149" t="s">
        <v>89</v>
      </c>
      <c r="D72" s="150" t="s">
        <v>90</v>
      </c>
      <c r="E72" s="150" t="s">
        <v>0</v>
      </c>
      <c r="F72" s="145" t="s">
        <v>71</v>
      </c>
      <c r="G72" s="150" t="s">
        <v>0</v>
      </c>
      <c r="H72" s="150" t="s">
        <v>0</v>
      </c>
      <c r="I72" s="150" t="s">
        <v>0</v>
      </c>
      <c r="J72" s="151" t="s">
        <v>0</v>
      </c>
      <c r="K72" s="13">
        <v>8</v>
      </c>
      <c r="L72" s="12" t="s">
        <v>32</v>
      </c>
      <c r="M72" s="13">
        <v>8</v>
      </c>
      <c r="N72" s="13">
        <v>0</v>
      </c>
      <c r="O72" s="14">
        <v>8</v>
      </c>
      <c r="P72" s="113">
        <f t="shared" si="153"/>
        <v>8</v>
      </c>
      <c r="Q72" s="114">
        <f t="shared" si="154"/>
        <v>0</v>
      </c>
      <c r="R72" s="114">
        <f t="shared" si="155"/>
        <v>8</v>
      </c>
      <c r="S72" s="114">
        <f t="shared" si="156"/>
        <v>0</v>
      </c>
      <c r="T72" s="93">
        <f t="shared" si="157"/>
        <v>1</v>
      </c>
      <c r="U72" t="s">
        <v>0</v>
      </c>
      <c r="V72" s="79"/>
      <c r="W72" s="76"/>
      <c r="X72" s="76"/>
      <c r="Y72" s="76"/>
      <c r="Z72" s="76"/>
      <c r="AA72" s="80"/>
      <c r="AB72" s="79"/>
      <c r="AC72" s="76">
        <v>8</v>
      </c>
      <c r="AD72" s="76"/>
      <c r="AE72" s="76"/>
      <c r="AF72" s="76"/>
      <c r="AG72" s="80"/>
      <c r="AH72" s="79"/>
      <c r="AI72" s="76"/>
      <c r="AJ72" s="76"/>
      <c r="AK72" s="76"/>
      <c r="AL72" s="76"/>
      <c r="AM72" s="80"/>
      <c r="AN72" s="79"/>
      <c r="AO72" s="76"/>
      <c r="AP72" s="76"/>
      <c r="AQ72" s="76"/>
      <c r="AR72" s="76"/>
      <c r="AS72" s="80"/>
      <c r="AT72" s="79"/>
      <c r="AU72" s="76"/>
      <c r="AV72" s="76"/>
      <c r="AW72" s="76"/>
      <c r="AX72" s="76"/>
      <c r="AY72" s="80"/>
      <c r="AZ72" s="79"/>
      <c r="BA72" s="76"/>
      <c r="BB72" s="76"/>
      <c r="BC72" s="76"/>
      <c r="BD72" s="76"/>
      <c r="BE72" s="80"/>
      <c r="BF72" s="79"/>
      <c r="BG72" s="76"/>
      <c r="BH72" s="76"/>
      <c r="BI72" s="76"/>
      <c r="BJ72" s="76"/>
      <c r="BK72" s="80"/>
      <c r="BM72" s="125">
        <f t="shared" si="158"/>
        <v>0</v>
      </c>
      <c r="BN72" s="126">
        <f t="shared" si="159"/>
        <v>8</v>
      </c>
      <c r="BO72" s="126">
        <f t="shared" si="160"/>
        <v>0</v>
      </c>
      <c r="BP72" s="126">
        <f t="shared" si="161"/>
        <v>0</v>
      </c>
      <c r="BQ72" s="126">
        <f>SUM(AT72:AY72)</f>
        <v>0</v>
      </c>
      <c r="BR72" s="126">
        <f t="shared" si="162"/>
        <v>0</v>
      </c>
      <c r="BS72" s="127">
        <f t="shared" si="163"/>
        <v>0</v>
      </c>
      <c r="BT72" s="74"/>
      <c r="BU72" s="125">
        <f t="shared" si="164"/>
        <v>0</v>
      </c>
      <c r="BV72" s="126">
        <f t="shared" si="165"/>
        <v>8</v>
      </c>
      <c r="BW72" s="126">
        <f t="shared" si="166"/>
        <v>0</v>
      </c>
      <c r="BX72" s="126">
        <f t="shared" si="167"/>
        <v>0</v>
      </c>
      <c r="BY72" s="126">
        <f t="shared" si="168"/>
        <v>0</v>
      </c>
      <c r="BZ72" s="126">
        <f t="shared" si="168"/>
        <v>0</v>
      </c>
      <c r="CA72" s="126">
        <f t="shared" si="168"/>
        <v>0</v>
      </c>
    </row>
    <row r="73" spans="1:79">
      <c r="A73" s="147" t="str">
        <f t="shared" si="5"/>
        <v>D</v>
      </c>
      <c r="B73" s="148">
        <f t="shared" si="6"/>
        <v>40000</v>
      </c>
      <c r="C73" s="149" t="s">
        <v>89</v>
      </c>
      <c r="D73" s="150" t="s">
        <v>90</v>
      </c>
      <c r="E73" s="150" t="s">
        <v>0</v>
      </c>
      <c r="F73" s="145" t="s">
        <v>72</v>
      </c>
      <c r="G73" s="150" t="s">
        <v>0</v>
      </c>
      <c r="H73" s="150" t="s">
        <v>0</v>
      </c>
      <c r="I73" s="150" t="s">
        <v>0</v>
      </c>
      <c r="J73" s="151" t="s">
        <v>0</v>
      </c>
      <c r="K73" s="13">
        <v>13.5</v>
      </c>
      <c r="L73" s="12" t="s">
        <v>67</v>
      </c>
      <c r="M73" s="13">
        <v>10.130000000000001</v>
      </c>
      <c r="N73" s="13">
        <v>0</v>
      </c>
      <c r="O73" s="14">
        <v>10.130000000000001</v>
      </c>
      <c r="P73" s="113">
        <f t="shared" si="153"/>
        <v>13.5</v>
      </c>
      <c r="Q73" s="114">
        <f t="shared" si="154"/>
        <v>0</v>
      </c>
      <c r="R73" s="114">
        <f t="shared" si="155"/>
        <v>10.130000000000001</v>
      </c>
      <c r="S73" s="114">
        <f t="shared" si="156"/>
        <v>0</v>
      </c>
      <c r="T73" s="93">
        <f t="shared" si="157"/>
        <v>1</v>
      </c>
      <c r="U73" t="s">
        <v>0</v>
      </c>
      <c r="V73" s="79"/>
      <c r="W73" s="76"/>
      <c r="X73" s="76"/>
      <c r="Y73" s="76"/>
      <c r="Z73" s="76"/>
      <c r="AA73" s="80"/>
      <c r="AB73" s="79"/>
      <c r="AC73" s="76"/>
      <c r="AD73" s="76"/>
      <c r="AE73" s="76"/>
      <c r="AF73" s="76">
        <v>5</v>
      </c>
      <c r="AG73" s="80"/>
      <c r="AH73" s="79"/>
      <c r="AI73" s="76"/>
      <c r="AJ73" s="76"/>
      <c r="AK73" s="76"/>
      <c r="AL73" s="76"/>
      <c r="AM73" s="80"/>
      <c r="AN73" s="79"/>
      <c r="AO73" s="76"/>
      <c r="AP73" s="76"/>
      <c r="AQ73" s="76"/>
      <c r="AR73" s="76"/>
      <c r="AS73" s="80"/>
      <c r="AT73" s="79"/>
      <c r="AU73" s="76"/>
      <c r="AV73" s="76"/>
      <c r="AW73" s="76"/>
      <c r="AX73" s="76"/>
      <c r="AY73" s="80">
        <v>8.5</v>
      </c>
      <c r="AZ73" s="79"/>
      <c r="BA73" s="76"/>
      <c r="BB73" s="76"/>
      <c r="BC73" s="76"/>
      <c r="BD73" s="76"/>
      <c r="BE73" s="80"/>
      <c r="BF73" s="79"/>
      <c r="BG73" s="76"/>
      <c r="BH73" s="76"/>
      <c r="BI73" s="76"/>
      <c r="BJ73" s="76"/>
      <c r="BK73" s="80"/>
      <c r="BM73" s="125">
        <f t="shared" si="158"/>
        <v>0</v>
      </c>
      <c r="BN73" s="126">
        <f t="shared" si="159"/>
        <v>5</v>
      </c>
      <c r="BO73" s="126">
        <f t="shared" si="160"/>
        <v>0</v>
      </c>
      <c r="BP73" s="126">
        <f t="shared" si="161"/>
        <v>0</v>
      </c>
      <c r="BQ73" s="126">
        <f>SUM(AT73:AY73)</f>
        <v>8.5</v>
      </c>
      <c r="BR73" s="126">
        <f t="shared" si="162"/>
        <v>0</v>
      </c>
      <c r="BS73" s="127">
        <f t="shared" si="163"/>
        <v>0</v>
      </c>
      <c r="BT73" s="74"/>
      <c r="BU73" s="125">
        <f t="shared" si="164"/>
        <v>0</v>
      </c>
      <c r="BV73" s="126">
        <f t="shared" si="165"/>
        <v>3.751851851851852</v>
      </c>
      <c r="BW73" s="126">
        <f t="shared" si="166"/>
        <v>0</v>
      </c>
      <c r="BX73" s="126">
        <f t="shared" si="167"/>
        <v>0</v>
      </c>
      <c r="BY73" s="126">
        <f t="shared" si="168"/>
        <v>6.3781481481481492</v>
      </c>
      <c r="BZ73" s="126">
        <f t="shared" si="168"/>
        <v>0</v>
      </c>
      <c r="CA73" s="126">
        <f t="shared" si="168"/>
        <v>0</v>
      </c>
    </row>
    <row r="74" spans="1:79" ht="15.75">
      <c r="A74" s="152" t="str">
        <f t="shared" si="5"/>
        <v>P</v>
      </c>
      <c r="B74" s="153">
        <f t="shared" si="6"/>
        <v>40000</v>
      </c>
      <c r="C74" s="154" t="s">
        <v>91</v>
      </c>
      <c r="D74" s="155" t="s">
        <v>92</v>
      </c>
      <c r="E74" s="155" t="s">
        <v>0</v>
      </c>
      <c r="F74" s="156" t="s">
        <v>93</v>
      </c>
      <c r="G74" s="155" t="s">
        <v>54</v>
      </c>
      <c r="H74" s="155" t="s">
        <v>0</v>
      </c>
      <c r="I74" s="155" t="s">
        <v>0</v>
      </c>
      <c r="J74" s="157" t="s">
        <v>0</v>
      </c>
      <c r="K74" s="9">
        <v>1.5</v>
      </c>
      <c r="L74" s="8" t="s">
        <v>67</v>
      </c>
      <c r="M74" s="9">
        <v>24.13</v>
      </c>
      <c r="N74" s="9">
        <v>0</v>
      </c>
      <c r="O74" s="10">
        <v>24.13</v>
      </c>
      <c r="P74" s="111"/>
      <c r="Q74" s="112"/>
      <c r="R74" s="112">
        <f>SUMIFS(R75:R$415,$C75:$C$415,$C74)</f>
        <v>24.13</v>
      </c>
      <c r="S74" s="112">
        <f>SUMIFS(S75:S$415,$C75:$C$415,$C74)</f>
        <v>0</v>
      </c>
      <c r="T74" s="92">
        <f>R74/O74</f>
        <v>1</v>
      </c>
      <c r="V74" s="77"/>
      <c r="W74" s="75"/>
      <c r="X74" s="75"/>
      <c r="Y74" s="75"/>
      <c r="Z74" s="75"/>
      <c r="AA74" s="78"/>
      <c r="AB74" s="77"/>
      <c r="AC74" s="75"/>
      <c r="AD74" s="75"/>
      <c r="AE74" s="75"/>
      <c r="AF74" s="75"/>
      <c r="AG74" s="78"/>
      <c r="AH74" s="77"/>
      <c r="AI74" s="75"/>
      <c r="AJ74" s="75"/>
      <c r="AK74" s="75"/>
      <c r="AL74" s="75"/>
      <c r="AM74" s="78"/>
      <c r="AN74" s="77"/>
      <c r="AO74" s="75"/>
      <c r="AP74" s="75"/>
      <c r="AQ74" s="75"/>
      <c r="AR74" s="75"/>
      <c r="AS74" s="78"/>
      <c r="AT74" s="77"/>
      <c r="AU74" s="75"/>
      <c r="AV74" s="75"/>
      <c r="AW74" s="75"/>
      <c r="AX74" s="75"/>
      <c r="AY74" s="78"/>
      <c r="AZ74" s="77"/>
      <c r="BA74" s="75"/>
      <c r="BB74" s="75"/>
      <c r="BC74" s="75"/>
      <c r="BD74" s="75"/>
      <c r="BE74" s="78"/>
      <c r="BF74" s="77"/>
      <c r="BG74" s="75"/>
      <c r="BH74" s="75"/>
      <c r="BI74" s="75"/>
      <c r="BJ74" s="75"/>
      <c r="BK74" s="78"/>
      <c r="BM74" s="122"/>
      <c r="BN74" s="123"/>
      <c r="BO74" s="123"/>
      <c r="BP74" s="123"/>
      <c r="BQ74" s="123"/>
      <c r="BR74" s="123"/>
      <c r="BS74" s="124"/>
      <c r="BT74" s="74"/>
      <c r="BU74" s="122"/>
      <c r="BV74" s="123"/>
      <c r="BW74" s="123"/>
      <c r="BX74" s="123"/>
      <c r="BY74" s="123"/>
      <c r="BZ74" s="123"/>
      <c r="CA74" s="123"/>
    </row>
    <row r="75" spans="1:79">
      <c r="A75" s="147" t="str">
        <f t="shared" ref="A75:A138" si="169">IF(C75=C74,"D",(IF(C75="WBS","W","P")))</f>
        <v>D</v>
      </c>
      <c r="B75" s="148">
        <f t="shared" ref="B75:B138" si="170">IF(C75="WBS",B76,VALUE(IF(C75=0,0,IF(LEN(C75)=5,LEFT(C75,1)&amp;"0000",LEFT(C75,2)&amp;"0000"))))</f>
        <v>40000</v>
      </c>
      <c r="C75" s="149" t="s">
        <v>91</v>
      </c>
      <c r="D75" s="150" t="s">
        <v>92</v>
      </c>
      <c r="E75" s="150" t="s">
        <v>0</v>
      </c>
      <c r="F75" s="145" t="s">
        <v>68</v>
      </c>
      <c r="G75" s="150" t="s">
        <v>54</v>
      </c>
      <c r="H75" s="150" t="s">
        <v>0</v>
      </c>
      <c r="I75" s="150" t="s">
        <v>0</v>
      </c>
      <c r="J75" s="151" t="s">
        <v>0</v>
      </c>
      <c r="K75" s="13">
        <v>1</v>
      </c>
      <c r="L75" s="12" t="s">
        <v>32</v>
      </c>
      <c r="M75" s="13">
        <v>4</v>
      </c>
      <c r="N75" s="13">
        <v>0</v>
      </c>
      <c r="O75" s="14">
        <v>4</v>
      </c>
      <c r="P75" s="113">
        <f t="shared" ref="P75:P80" si="171">SUM(BM75:BS75)</f>
        <v>1</v>
      </c>
      <c r="Q75" s="114">
        <f t="shared" ref="Q75:Q80" si="172">K75-P75</f>
        <v>0</v>
      </c>
      <c r="R75" s="114">
        <f t="shared" ref="R75:R80" si="173">SUM(BU75:CA75)</f>
        <v>4</v>
      </c>
      <c r="S75" s="114">
        <f t="shared" ref="S75:S80" si="174">O75-R75</f>
        <v>0</v>
      </c>
      <c r="T75" s="93">
        <f t="shared" ref="T75:T80" si="175">R75/O75</f>
        <v>1</v>
      </c>
      <c r="U75" t="s">
        <v>0</v>
      </c>
      <c r="V75" s="79"/>
      <c r="W75" s="76">
        <v>1</v>
      </c>
      <c r="X75" s="76"/>
      <c r="Y75" s="76"/>
      <c r="Z75" s="76"/>
      <c r="AA75" s="80"/>
      <c r="AB75" s="79"/>
      <c r="AC75" s="76"/>
      <c r="AD75" s="76"/>
      <c r="AE75" s="76"/>
      <c r="AF75" s="76"/>
      <c r="AG75" s="80"/>
      <c r="AH75" s="79"/>
      <c r="AI75" s="76"/>
      <c r="AJ75" s="76"/>
      <c r="AK75" s="76"/>
      <c r="AL75" s="76"/>
      <c r="AM75" s="80"/>
      <c r="AN75" s="79"/>
      <c r="AO75" s="76"/>
      <c r="AP75" s="76"/>
      <c r="AQ75" s="76"/>
      <c r="AR75" s="76"/>
      <c r="AS75" s="80"/>
      <c r="AT75" s="79"/>
      <c r="AU75" s="76"/>
      <c r="AV75" s="76"/>
      <c r="AW75" s="76"/>
      <c r="AX75" s="76"/>
      <c r="AY75" s="80"/>
      <c r="AZ75" s="79"/>
      <c r="BA75" s="76"/>
      <c r="BB75" s="76"/>
      <c r="BC75" s="76"/>
      <c r="BD75" s="76"/>
      <c r="BE75" s="80"/>
      <c r="BF75" s="79"/>
      <c r="BG75" s="76"/>
      <c r="BH75" s="76"/>
      <c r="BI75" s="76"/>
      <c r="BJ75" s="76"/>
      <c r="BK75" s="80"/>
      <c r="BM75" s="125">
        <f t="shared" ref="BM75:BM80" si="176">SUM(V75:AA75)</f>
        <v>1</v>
      </c>
      <c r="BN75" s="126">
        <f t="shared" ref="BN75:BN80" si="177">SUM(AB75:AG75)</f>
        <v>0</v>
      </c>
      <c r="BO75" s="126">
        <f t="shared" ref="BO75:BO80" si="178">SUM(AH75:AM75)</f>
        <v>0</v>
      </c>
      <c r="BP75" s="126">
        <f t="shared" ref="BP75:BP80" si="179">SUM(AN75:AS75)</f>
        <v>0</v>
      </c>
      <c r="BQ75" s="126">
        <f>SUM(AT75:AY75)</f>
        <v>0</v>
      </c>
      <c r="BR75" s="126">
        <f t="shared" ref="BR75:BS80" si="180">SUM(AZ75:BE75)</f>
        <v>0</v>
      </c>
      <c r="BS75" s="127">
        <f t="shared" ref="BS75:BS80" si="181">SUM(BF75:BK75)</f>
        <v>0</v>
      </c>
      <c r="BT75" s="74"/>
      <c r="BU75" s="125">
        <f t="shared" ref="BU75:BU80" si="182">(BM75/$K75)*$O75</f>
        <v>4</v>
      </c>
      <c r="BV75" s="126">
        <f t="shared" ref="BV75:BV80" si="183">(BN75/$K75)*$O75</f>
        <v>0</v>
      </c>
      <c r="BW75" s="126">
        <f t="shared" ref="BW75:BW80" si="184">(BO75/$K75)*$O75</f>
        <v>0</v>
      </c>
      <c r="BX75" s="126">
        <f t="shared" ref="BX75:BX80" si="185">(BP75/$K75)*$O75</f>
        <v>0</v>
      </c>
      <c r="BY75" s="126">
        <f t="shared" ref="BY75:CA80" si="186">(BQ75/$K75)*$O75</f>
        <v>0</v>
      </c>
      <c r="BZ75" s="126">
        <f t="shared" si="186"/>
        <v>0</v>
      </c>
      <c r="CA75" s="126">
        <f t="shared" si="186"/>
        <v>0</v>
      </c>
    </row>
    <row r="76" spans="1:79">
      <c r="A76" s="147" t="str">
        <f t="shared" si="169"/>
        <v>D</v>
      </c>
      <c r="B76" s="148">
        <f t="shared" si="170"/>
        <v>40000</v>
      </c>
      <c r="C76" s="149" t="s">
        <v>91</v>
      </c>
      <c r="D76" s="150" t="s">
        <v>92</v>
      </c>
      <c r="E76" s="150" t="s">
        <v>0</v>
      </c>
      <c r="F76" s="145" t="s">
        <v>70</v>
      </c>
      <c r="G76" s="150" t="s">
        <v>54</v>
      </c>
      <c r="H76" s="150" t="s">
        <v>0</v>
      </c>
      <c r="I76" s="150" t="s">
        <v>0</v>
      </c>
      <c r="J76" s="151" t="s">
        <v>0</v>
      </c>
      <c r="K76" s="13">
        <v>2</v>
      </c>
      <c r="L76" s="12" t="s">
        <v>32</v>
      </c>
      <c r="M76" s="13">
        <v>3</v>
      </c>
      <c r="N76" s="13">
        <v>0</v>
      </c>
      <c r="O76" s="14">
        <v>3</v>
      </c>
      <c r="P76" s="113">
        <f t="shared" si="171"/>
        <v>2</v>
      </c>
      <c r="Q76" s="114">
        <f t="shared" si="172"/>
        <v>0</v>
      </c>
      <c r="R76" s="114">
        <f t="shared" si="173"/>
        <v>3</v>
      </c>
      <c r="S76" s="114">
        <f t="shared" si="174"/>
        <v>0</v>
      </c>
      <c r="T76" s="93">
        <f t="shared" si="175"/>
        <v>1</v>
      </c>
      <c r="U76" t="s">
        <v>0</v>
      </c>
      <c r="V76" s="79"/>
      <c r="W76" s="76"/>
      <c r="X76" s="76">
        <v>2</v>
      </c>
      <c r="Y76" s="76"/>
      <c r="Z76" s="76"/>
      <c r="AA76" s="80"/>
      <c r="AB76" s="79"/>
      <c r="AC76" s="76"/>
      <c r="AD76" s="76"/>
      <c r="AE76" s="76"/>
      <c r="AF76" s="76"/>
      <c r="AG76" s="80"/>
      <c r="AH76" s="79"/>
      <c r="AI76" s="76"/>
      <c r="AJ76" s="76"/>
      <c r="AK76" s="76"/>
      <c r="AL76" s="76"/>
      <c r="AM76" s="80"/>
      <c r="AN76" s="79"/>
      <c r="AO76" s="76"/>
      <c r="AP76" s="76"/>
      <c r="AQ76" s="76"/>
      <c r="AR76" s="76"/>
      <c r="AS76" s="80"/>
      <c r="AT76" s="79"/>
      <c r="AU76" s="76"/>
      <c r="AV76" s="76"/>
      <c r="AW76" s="76"/>
      <c r="AX76" s="76"/>
      <c r="AY76" s="80"/>
      <c r="AZ76" s="79"/>
      <c r="BA76" s="76"/>
      <c r="BB76" s="76"/>
      <c r="BC76" s="76"/>
      <c r="BD76" s="76"/>
      <c r="BE76" s="80"/>
      <c r="BF76" s="79"/>
      <c r="BG76" s="76"/>
      <c r="BH76" s="76"/>
      <c r="BI76" s="76"/>
      <c r="BJ76" s="76"/>
      <c r="BK76" s="80"/>
      <c r="BM76" s="125">
        <f t="shared" si="176"/>
        <v>2</v>
      </c>
      <c r="BN76" s="126">
        <f t="shared" si="177"/>
        <v>0</v>
      </c>
      <c r="BO76" s="126">
        <f t="shared" si="178"/>
        <v>0</v>
      </c>
      <c r="BP76" s="126">
        <f t="shared" si="179"/>
        <v>0</v>
      </c>
      <c r="BQ76" s="126">
        <f>SUM(AT76:AY76)</f>
        <v>0</v>
      </c>
      <c r="BR76" s="126">
        <f t="shared" si="180"/>
        <v>0</v>
      </c>
      <c r="BS76" s="127">
        <f t="shared" si="181"/>
        <v>0</v>
      </c>
      <c r="BT76" s="74"/>
      <c r="BU76" s="125">
        <f t="shared" si="182"/>
        <v>3</v>
      </c>
      <c r="BV76" s="126">
        <f t="shared" si="183"/>
        <v>0</v>
      </c>
      <c r="BW76" s="126">
        <f t="shared" si="184"/>
        <v>0</v>
      </c>
      <c r="BX76" s="126">
        <f t="shared" si="185"/>
        <v>0</v>
      </c>
      <c r="BY76" s="126">
        <f t="shared" si="186"/>
        <v>0</v>
      </c>
      <c r="BZ76" s="126">
        <f t="shared" si="186"/>
        <v>0</v>
      </c>
      <c r="CA76" s="126">
        <f t="shared" si="186"/>
        <v>0</v>
      </c>
    </row>
    <row r="77" spans="1:79">
      <c r="A77" s="147" t="str">
        <f t="shared" si="169"/>
        <v>D</v>
      </c>
      <c r="B77" s="148">
        <f t="shared" si="170"/>
        <v>40000</v>
      </c>
      <c r="C77" s="149" t="s">
        <v>91</v>
      </c>
      <c r="D77" s="150" t="s">
        <v>92</v>
      </c>
      <c r="E77" s="150" t="s">
        <v>0</v>
      </c>
      <c r="F77" s="145" t="s">
        <v>71</v>
      </c>
      <c r="G77" s="150" t="s">
        <v>54</v>
      </c>
      <c r="H77" s="150" t="s">
        <v>0</v>
      </c>
      <c r="I77" s="150" t="s">
        <v>0</v>
      </c>
      <c r="J77" s="151" t="s">
        <v>0</v>
      </c>
      <c r="K77" s="13">
        <v>2</v>
      </c>
      <c r="L77" s="12" t="s">
        <v>32</v>
      </c>
      <c r="M77" s="13">
        <v>2</v>
      </c>
      <c r="N77" s="13">
        <v>0</v>
      </c>
      <c r="O77" s="14">
        <v>2</v>
      </c>
      <c r="P77" s="113">
        <f t="shared" si="171"/>
        <v>2</v>
      </c>
      <c r="Q77" s="114">
        <f t="shared" si="172"/>
        <v>0</v>
      </c>
      <c r="R77" s="114">
        <f t="shared" si="173"/>
        <v>2</v>
      </c>
      <c r="S77" s="114">
        <f t="shared" si="174"/>
        <v>0</v>
      </c>
      <c r="T77" s="93">
        <f t="shared" si="175"/>
        <v>1</v>
      </c>
      <c r="U77" t="s">
        <v>0</v>
      </c>
      <c r="V77" s="79"/>
      <c r="W77" s="76"/>
      <c r="X77" s="76"/>
      <c r="Y77" s="76"/>
      <c r="Z77" s="76"/>
      <c r="AA77" s="80"/>
      <c r="AB77" s="79"/>
      <c r="AC77" s="76"/>
      <c r="AD77" s="76"/>
      <c r="AE77" s="76"/>
      <c r="AF77" s="76"/>
      <c r="AG77" s="80"/>
      <c r="AH77" s="79"/>
      <c r="AI77" s="76"/>
      <c r="AJ77" s="76"/>
      <c r="AK77" s="76"/>
      <c r="AL77" s="76">
        <v>2</v>
      </c>
      <c r="AM77" s="80"/>
      <c r="AN77" s="79"/>
      <c r="AO77" s="76"/>
      <c r="AP77" s="76"/>
      <c r="AQ77" s="76"/>
      <c r="AR77" s="76"/>
      <c r="AS77" s="80"/>
      <c r="AT77" s="79"/>
      <c r="AU77" s="76"/>
      <c r="AV77" s="76"/>
      <c r="AW77" s="76"/>
      <c r="AX77" s="76"/>
      <c r="AY77" s="80"/>
      <c r="AZ77" s="79"/>
      <c r="BA77" s="76"/>
      <c r="BB77" s="76"/>
      <c r="BC77" s="76"/>
      <c r="BD77" s="76"/>
      <c r="BE77" s="80"/>
      <c r="BF77" s="79"/>
      <c r="BG77" s="76"/>
      <c r="BH77" s="76"/>
      <c r="BI77" s="76"/>
      <c r="BJ77" s="76"/>
      <c r="BK77" s="80"/>
      <c r="BM77" s="125">
        <f t="shared" si="176"/>
        <v>0</v>
      </c>
      <c r="BN77" s="126">
        <f t="shared" si="177"/>
        <v>0</v>
      </c>
      <c r="BO77" s="126">
        <f t="shared" si="178"/>
        <v>2</v>
      </c>
      <c r="BP77" s="126">
        <f t="shared" si="179"/>
        <v>0</v>
      </c>
      <c r="BQ77" s="126">
        <f>SUM(AT77:AY77)</f>
        <v>0</v>
      </c>
      <c r="BR77" s="126">
        <f t="shared" si="180"/>
        <v>0</v>
      </c>
      <c r="BS77" s="127">
        <f t="shared" si="181"/>
        <v>0</v>
      </c>
      <c r="BT77" s="74"/>
      <c r="BU77" s="125">
        <f t="shared" si="182"/>
        <v>0</v>
      </c>
      <c r="BV77" s="126">
        <f t="shared" si="183"/>
        <v>0</v>
      </c>
      <c r="BW77" s="126">
        <f t="shared" si="184"/>
        <v>2</v>
      </c>
      <c r="BX77" s="126">
        <f t="shared" si="185"/>
        <v>0</v>
      </c>
      <c r="BY77" s="126">
        <f t="shared" si="186"/>
        <v>0</v>
      </c>
      <c r="BZ77" s="126">
        <f t="shared" si="186"/>
        <v>0</v>
      </c>
      <c r="CA77" s="126">
        <f t="shared" si="186"/>
        <v>0</v>
      </c>
    </row>
    <row r="78" spans="1:79">
      <c r="A78" s="147" t="str">
        <f t="shared" si="169"/>
        <v>D</v>
      </c>
      <c r="B78" s="148">
        <f t="shared" si="170"/>
        <v>40000</v>
      </c>
      <c r="C78" s="149" t="s">
        <v>91</v>
      </c>
      <c r="D78" s="150" t="s">
        <v>92</v>
      </c>
      <c r="E78" s="150" t="s">
        <v>0</v>
      </c>
      <c r="F78" s="145" t="s">
        <v>94</v>
      </c>
      <c r="G78" s="150" t="s">
        <v>54</v>
      </c>
      <c r="H78" s="150" t="s">
        <v>0</v>
      </c>
      <c r="I78" s="150" t="s">
        <v>0</v>
      </c>
      <c r="J78" s="151" t="s">
        <v>0</v>
      </c>
      <c r="K78" s="13">
        <v>0.5</v>
      </c>
      <c r="L78" s="12" t="s">
        <v>67</v>
      </c>
      <c r="M78" s="13">
        <v>10</v>
      </c>
      <c r="N78" s="13">
        <v>0</v>
      </c>
      <c r="O78" s="14">
        <v>10</v>
      </c>
      <c r="P78" s="113">
        <f t="shared" si="171"/>
        <v>0.5</v>
      </c>
      <c r="Q78" s="114">
        <f t="shared" si="172"/>
        <v>0</v>
      </c>
      <c r="R78" s="114">
        <f t="shared" si="173"/>
        <v>10</v>
      </c>
      <c r="S78" s="114">
        <f t="shared" si="174"/>
        <v>0</v>
      </c>
      <c r="T78" s="93">
        <f t="shared" si="175"/>
        <v>1</v>
      </c>
      <c r="U78" t="s">
        <v>0</v>
      </c>
      <c r="V78" s="79"/>
      <c r="W78" s="76"/>
      <c r="X78" s="76"/>
      <c r="Y78" s="76"/>
      <c r="Z78" s="76"/>
      <c r="AA78" s="80"/>
      <c r="AB78" s="79"/>
      <c r="AC78" s="76"/>
      <c r="AD78" s="76"/>
      <c r="AE78" s="76"/>
      <c r="AF78" s="76"/>
      <c r="AG78" s="80">
        <v>0.5</v>
      </c>
      <c r="AH78" s="79"/>
      <c r="AI78" s="76"/>
      <c r="AJ78" s="76"/>
      <c r="AK78" s="76"/>
      <c r="AL78" s="76"/>
      <c r="AM78" s="80"/>
      <c r="AN78" s="79"/>
      <c r="AO78" s="76"/>
      <c r="AP78" s="76"/>
      <c r="AQ78" s="76"/>
      <c r="AR78" s="76"/>
      <c r="AS78" s="80"/>
      <c r="AT78" s="79"/>
      <c r="AU78" s="76"/>
      <c r="AV78" s="76"/>
      <c r="AW78" s="76"/>
      <c r="AX78" s="76"/>
      <c r="AY78" s="80"/>
      <c r="AZ78" s="79"/>
      <c r="BA78" s="76"/>
      <c r="BB78" s="76"/>
      <c r="BC78" s="76"/>
      <c r="BD78" s="76"/>
      <c r="BE78" s="80"/>
      <c r="BF78" s="79"/>
      <c r="BG78" s="76"/>
      <c r="BH78" s="76"/>
      <c r="BI78" s="76"/>
      <c r="BJ78" s="76"/>
      <c r="BK78" s="80"/>
      <c r="BM78" s="125">
        <f t="shared" si="176"/>
        <v>0</v>
      </c>
      <c r="BN78" s="126">
        <f t="shared" si="177"/>
        <v>0.5</v>
      </c>
      <c r="BO78" s="126">
        <f t="shared" si="178"/>
        <v>0</v>
      </c>
      <c r="BP78" s="126">
        <f t="shared" si="179"/>
        <v>0</v>
      </c>
      <c r="BQ78" s="126">
        <f>SUM(AT78:AY78)</f>
        <v>0</v>
      </c>
      <c r="BR78" s="126">
        <f t="shared" si="180"/>
        <v>0</v>
      </c>
      <c r="BS78" s="127">
        <f t="shared" si="181"/>
        <v>0</v>
      </c>
      <c r="BT78" s="74"/>
      <c r="BU78" s="125">
        <f t="shared" si="182"/>
        <v>0</v>
      </c>
      <c r="BV78" s="126">
        <f t="shared" si="183"/>
        <v>10</v>
      </c>
      <c r="BW78" s="126">
        <f t="shared" si="184"/>
        <v>0</v>
      </c>
      <c r="BX78" s="126">
        <f t="shared" si="185"/>
        <v>0</v>
      </c>
      <c r="BY78" s="126">
        <f t="shared" si="186"/>
        <v>0</v>
      </c>
      <c r="BZ78" s="126">
        <f t="shared" si="186"/>
        <v>0</v>
      </c>
      <c r="CA78" s="126">
        <f t="shared" si="186"/>
        <v>0</v>
      </c>
    </row>
    <row r="79" spans="1:79">
      <c r="A79" s="147" t="str">
        <f t="shared" si="169"/>
        <v>D</v>
      </c>
      <c r="B79" s="148">
        <f t="shared" si="170"/>
        <v>40000</v>
      </c>
      <c r="C79" s="149" t="s">
        <v>91</v>
      </c>
      <c r="D79" s="150" t="s">
        <v>92</v>
      </c>
      <c r="E79" s="150" t="s">
        <v>0</v>
      </c>
      <c r="F79" s="145" t="s">
        <v>72</v>
      </c>
      <c r="G79" s="150" t="s">
        <v>54</v>
      </c>
      <c r="H79" s="150" t="s">
        <v>0</v>
      </c>
      <c r="I79" s="150" t="s">
        <v>0</v>
      </c>
      <c r="J79" s="151" t="s">
        <v>0</v>
      </c>
      <c r="K79" s="13">
        <v>1.5</v>
      </c>
      <c r="L79" s="12" t="s">
        <v>67</v>
      </c>
      <c r="M79" s="13">
        <v>1.1299999999999999</v>
      </c>
      <c r="N79" s="13">
        <v>0</v>
      </c>
      <c r="O79" s="14">
        <v>1.1299999999999999</v>
      </c>
      <c r="P79" s="113">
        <f t="shared" si="171"/>
        <v>1.5</v>
      </c>
      <c r="Q79" s="114">
        <f t="shared" si="172"/>
        <v>0</v>
      </c>
      <c r="R79" s="114">
        <f t="shared" si="173"/>
        <v>1.1299999999999999</v>
      </c>
      <c r="S79" s="114">
        <f t="shared" si="174"/>
        <v>0</v>
      </c>
      <c r="T79" s="93">
        <f t="shared" si="175"/>
        <v>1</v>
      </c>
      <c r="U79" t="s">
        <v>0</v>
      </c>
      <c r="V79" s="79"/>
      <c r="W79" s="76"/>
      <c r="X79" s="76"/>
      <c r="Y79" s="76"/>
      <c r="Z79" s="76"/>
      <c r="AA79" s="80"/>
      <c r="AB79" s="79"/>
      <c r="AC79" s="76"/>
      <c r="AD79" s="76"/>
      <c r="AE79" s="76"/>
      <c r="AF79" s="76"/>
      <c r="AG79" s="80"/>
      <c r="AH79" s="79"/>
      <c r="AI79" s="76"/>
      <c r="AJ79" s="76"/>
      <c r="AK79" s="76"/>
      <c r="AL79" s="76"/>
      <c r="AM79" s="80"/>
      <c r="AN79" s="79"/>
      <c r="AO79" s="76"/>
      <c r="AP79" s="76"/>
      <c r="AQ79" s="76"/>
      <c r="AR79" s="76"/>
      <c r="AS79" s="80"/>
      <c r="AT79" s="79"/>
      <c r="AU79" s="76"/>
      <c r="AV79" s="76"/>
      <c r="AW79" s="76"/>
      <c r="AX79" s="76"/>
      <c r="AY79" s="80">
        <v>1.5</v>
      </c>
      <c r="AZ79" s="79"/>
      <c r="BA79" s="76"/>
      <c r="BB79" s="76"/>
      <c r="BC79" s="76"/>
      <c r="BD79" s="76"/>
      <c r="BE79" s="80"/>
      <c r="BF79" s="79"/>
      <c r="BG79" s="76"/>
      <c r="BH79" s="76"/>
      <c r="BI79" s="76"/>
      <c r="BJ79" s="76"/>
      <c r="BK79" s="80"/>
      <c r="BM79" s="125">
        <f t="shared" si="176"/>
        <v>0</v>
      </c>
      <c r="BN79" s="126">
        <f t="shared" si="177"/>
        <v>0</v>
      </c>
      <c r="BO79" s="126">
        <f t="shared" si="178"/>
        <v>0</v>
      </c>
      <c r="BP79" s="126">
        <f t="shared" si="179"/>
        <v>0</v>
      </c>
      <c r="BQ79" s="126">
        <f>SUM(AT79:AY79)</f>
        <v>1.5</v>
      </c>
      <c r="BR79" s="126">
        <f t="shared" si="180"/>
        <v>0</v>
      </c>
      <c r="BS79" s="127">
        <f t="shared" si="181"/>
        <v>0</v>
      </c>
      <c r="BT79" s="74"/>
      <c r="BU79" s="125">
        <f t="shared" si="182"/>
        <v>0</v>
      </c>
      <c r="BV79" s="126">
        <f t="shared" si="183"/>
        <v>0</v>
      </c>
      <c r="BW79" s="126">
        <f t="shared" si="184"/>
        <v>0</v>
      </c>
      <c r="BX79" s="126">
        <f t="shared" si="185"/>
        <v>0</v>
      </c>
      <c r="BY79" s="126">
        <f t="shared" si="186"/>
        <v>1.1299999999999999</v>
      </c>
      <c r="BZ79" s="126">
        <f t="shared" si="186"/>
        <v>0</v>
      </c>
      <c r="CA79" s="126">
        <f t="shared" si="186"/>
        <v>0</v>
      </c>
    </row>
    <row r="80" spans="1:79">
      <c r="A80" s="147" t="str">
        <f t="shared" si="169"/>
        <v>D</v>
      </c>
      <c r="B80" s="148">
        <f t="shared" si="170"/>
        <v>40000</v>
      </c>
      <c r="C80" s="149" t="s">
        <v>91</v>
      </c>
      <c r="D80" s="150" t="s">
        <v>92</v>
      </c>
      <c r="E80" s="150" t="s">
        <v>0</v>
      </c>
      <c r="F80" s="145" t="s">
        <v>95</v>
      </c>
      <c r="G80" s="150" t="s">
        <v>54</v>
      </c>
      <c r="H80" s="150" t="s">
        <v>0</v>
      </c>
      <c r="I80" s="150" t="s">
        <v>0</v>
      </c>
      <c r="J80" s="151" t="s">
        <v>0</v>
      </c>
      <c r="K80" s="13">
        <v>1</v>
      </c>
      <c r="L80" s="12" t="s">
        <v>32</v>
      </c>
      <c r="M80" s="13">
        <v>4</v>
      </c>
      <c r="N80" s="13">
        <v>0</v>
      </c>
      <c r="O80" s="14">
        <v>4</v>
      </c>
      <c r="P80" s="113">
        <f t="shared" si="171"/>
        <v>1</v>
      </c>
      <c r="Q80" s="114">
        <f t="shared" si="172"/>
        <v>0</v>
      </c>
      <c r="R80" s="114">
        <f t="shared" si="173"/>
        <v>4</v>
      </c>
      <c r="S80" s="114">
        <f t="shared" si="174"/>
        <v>0</v>
      </c>
      <c r="T80" s="93">
        <f t="shared" si="175"/>
        <v>1</v>
      </c>
      <c r="U80" t="s">
        <v>0</v>
      </c>
      <c r="V80" s="79"/>
      <c r="W80" s="76"/>
      <c r="X80" s="76"/>
      <c r="Y80" s="76"/>
      <c r="Z80" s="76"/>
      <c r="AA80" s="80"/>
      <c r="AB80" s="79"/>
      <c r="AC80" s="76"/>
      <c r="AD80" s="76"/>
      <c r="AE80" s="76"/>
      <c r="AF80" s="76"/>
      <c r="AG80" s="80"/>
      <c r="AH80" s="79"/>
      <c r="AI80" s="76"/>
      <c r="AJ80" s="76"/>
      <c r="AK80" s="76"/>
      <c r="AL80" s="76"/>
      <c r="AM80" s="80"/>
      <c r="AN80" s="79"/>
      <c r="AO80" s="76"/>
      <c r="AP80" s="76"/>
      <c r="AQ80" s="76"/>
      <c r="AR80" s="76"/>
      <c r="AS80" s="80"/>
      <c r="AT80" s="79"/>
      <c r="AU80" s="76"/>
      <c r="AV80" s="76"/>
      <c r="AW80" s="76"/>
      <c r="AX80" s="76"/>
      <c r="AY80" s="80">
        <v>1</v>
      </c>
      <c r="AZ80" s="79"/>
      <c r="BA80" s="76"/>
      <c r="BB80" s="76"/>
      <c r="BC80" s="76"/>
      <c r="BD80" s="76"/>
      <c r="BE80" s="80"/>
      <c r="BF80" s="79"/>
      <c r="BG80" s="76"/>
      <c r="BH80" s="76"/>
      <c r="BI80" s="76"/>
      <c r="BJ80" s="76"/>
      <c r="BK80" s="80"/>
      <c r="BM80" s="125">
        <f t="shared" si="176"/>
        <v>0</v>
      </c>
      <c r="BN80" s="126">
        <f t="shared" si="177"/>
        <v>0</v>
      </c>
      <c r="BO80" s="126">
        <f t="shared" si="178"/>
        <v>0</v>
      </c>
      <c r="BP80" s="126">
        <f t="shared" si="179"/>
        <v>0</v>
      </c>
      <c r="BQ80" s="126">
        <f>SUM(AT80:AY80)</f>
        <v>1</v>
      </c>
      <c r="BR80" s="126">
        <f t="shared" si="180"/>
        <v>0</v>
      </c>
      <c r="BS80" s="127">
        <f t="shared" si="181"/>
        <v>0</v>
      </c>
      <c r="BT80" s="74"/>
      <c r="BU80" s="125">
        <f t="shared" si="182"/>
        <v>0</v>
      </c>
      <c r="BV80" s="126">
        <f t="shared" si="183"/>
        <v>0</v>
      </c>
      <c r="BW80" s="126">
        <f t="shared" si="184"/>
        <v>0</v>
      </c>
      <c r="BX80" s="126">
        <f t="shared" si="185"/>
        <v>0</v>
      </c>
      <c r="BY80" s="126">
        <f t="shared" si="186"/>
        <v>4</v>
      </c>
      <c r="BZ80" s="126">
        <f t="shared" si="186"/>
        <v>0</v>
      </c>
      <c r="CA80" s="126">
        <f t="shared" si="186"/>
        <v>0</v>
      </c>
    </row>
    <row r="81" spans="1:79" ht="15.75">
      <c r="A81" s="152" t="str">
        <f t="shared" si="169"/>
        <v>P</v>
      </c>
      <c r="B81" s="153">
        <f t="shared" si="170"/>
        <v>40000</v>
      </c>
      <c r="C81" s="154" t="s">
        <v>96</v>
      </c>
      <c r="D81" s="155" t="s">
        <v>97</v>
      </c>
      <c r="E81" s="155" t="s">
        <v>0</v>
      </c>
      <c r="F81" s="156" t="s">
        <v>98</v>
      </c>
      <c r="G81" s="155" t="s">
        <v>0</v>
      </c>
      <c r="H81" s="155" t="s">
        <v>0</v>
      </c>
      <c r="I81" s="155" t="s">
        <v>0</v>
      </c>
      <c r="J81" s="157" t="s">
        <v>0</v>
      </c>
      <c r="K81" s="9">
        <v>5</v>
      </c>
      <c r="L81" s="8" t="s">
        <v>67</v>
      </c>
      <c r="M81" s="9">
        <v>46.75</v>
      </c>
      <c r="N81" s="9">
        <v>4</v>
      </c>
      <c r="O81" s="10">
        <v>50.75</v>
      </c>
      <c r="P81" s="111"/>
      <c r="Q81" s="112"/>
      <c r="R81" s="112">
        <f>SUMIFS(R82:R$415,$C82:$C$415,$C81)</f>
        <v>50.75</v>
      </c>
      <c r="S81" s="112">
        <f>SUMIFS(S82:S$415,$C82:$C$415,$C81)</f>
        <v>0</v>
      </c>
      <c r="T81" s="92">
        <f>R81/O81</f>
        <v>1</v>
      </c>
      <c r="V81" s="77"/>
      <c r="W81" s="75"/>
      <c r="X81" s="75"/>
      <c r="Y81" s="75"/>
      <c r="Z81" s="75"/>
      <c r="AA81" s="78"/>
      <c r="AB81" s="77"/>
      <c r="AC81" s="75"/>
      <c r="AD81" s="75"/>
      <c r="AE81" s="75"/>
      <c r="AF81" s="75"/>
      <c r="AG81" s="78"/>
      <c r="AH81" s="77"/>
      <c r="AI81" s="75"/>
      <c r="AJ81" s="75"/>
      <c r="AK81" s="75"/>
      <c r="AL81" s="75"/>
      <c r="AM81" s="78"/>
      <c r="AN81" s="77"/>
      <c r="AO81" s="75"/>
      <c r="AP81" s="75"/>
      <c r="AQ81" s="75"/>
      <c r="AR81" s="75"/>
      <c r="AS81" s="78"/>
      <c r="AT81" s="77"/>
      <c r="AU81" s="75"/>
      <c r="AV81" s="75"/>
      <c r="AW81" s="75"/>
      <c r="AX81" s="75"/>
      <c r="AY81" s="78"/>
      <c r="AZ81" s="77"/>
      <c r="BA81" s="75"/>
      <c r="BB81" s="75"/>
      <c r="BC81" s="75"/>
      <c r="BD81" s="75"/>
      <c r="BE81" s="78"/>
      <c r="BF81" s="77"/>
      <c r="BG81" s="75"/>
      <c r="BH81" s="75"/>
      <c r="BI81" s="75"/>
      <c r="BJ81" s="75"/>
      <c r="BK81" s="78"/>
      <c r="BM81" s="122"/>
      <c r="BN81" s="123"/>
      <c r="BO81" s="123"/>
      <c r="BP81" s="123"/>
      <c r="BQ81" s="123"/>
      <c r="BR81" s="123"/>
      <c r="BS81" s="124"/>
      <c r="BT81" s="74"/>
      <c r="BU81" s="122"/>
      <c r="BV81" s="123"/>
      <c r="BW81" s="123"/>
      <c r="BX81" s="123"/>
      <c r="BY81" s="123"/>
      <c r="BZ81" s="123"/>
      <c r="CA81" s="123"/>
    </row>
    <row r="82" spans="1:79">
      <c r="A82" s="147" t="str">
        <f t="shared" si="169"/>
        <v>D</v>
      </c>
      <c r="B82" s="148">
        <f t="shared" si="170"/>
        <v>40000</v>
      </c>
      <c r="C82" s="149" t="s">
        <v>96</v>
      </c>
      <c r="D82" s="150" t="s">
        <v>97</v>
      </c>
      <c r="E82" s="150" t="s">
        <v>0</v>
      </c>
      <c r="F82" s="145" t="s">
        <v>68</v>
      </c>
      <c r="G82" s="150" t="s">
        <v>0</v>
      </c>
      <c r="H82" s="150" t="s">
        <v>0</v>
      </c>
      <c r="I82" s="150" t="s">
        <v>0</v>
      </c>
      <c r="J82" s="151" t="s">
        <v>0</v>
      </c>
      <c r="K82" s="13">
        <v>1</v>
      </c>
      <c r="L82" s="12" t="s">
        <v>32</v>
      </c>
      <c r="M82" s="13">
        <v>4</v>
      </c>
      <c r="N82" s="13">
        <v>0</v>
      </c>
      <c r="O82" s="14">
        <v>4</v>
      </c>
      <c r="P82" s="113">
        <f t="shared" ref="P82:P89" si="187">SUM(BM82:BS82)</f>
        <v>1</v>
      </c>
      <c r="Q82" s="114">
        <f t="shared" ref="Q82:Q89" si="188">K82-P82</f>
        <v>0</v>
      </c>
      <c r="R82" s="114">
        <f t="shared" ref="R82:R89" si="189">SUM(BU82:CA82)</f>
        <v>4</v>
      </c>
      <c r="S82" s="114">
        <f t="shared" ref="S82:S89" si="190">O82-R82</f>
        <v>0</v>
      </c>
      <c r="T82" s="93">
        <f t="shared" ref="T82:T89" si="191">R82/O82</f>
        <v>1</v>
      </c>
      <c r="U82" t="s">
        <v>0</v>
      </c>
      <c r="V82" s="79"/>
      <c r="W82" s="76">
        <v>1</v>
      </c>
      <c r="X82" s="76"/>
      <c r="Y82" s="76"/>
      <c r="Z82" s="76"/>
      <c r="AA82" s="80"/>
      <c r="AB82" s="79"/>
      <c r="AC82" s="76"/>
      <c r="AD82" s="76"/>
      <c r="AE82" s="76"/>
      <c r="AF82" s="76"/>
      <c r="AG82" s="80"/>
      <c r="AH82" s="79"/>
      <c r="AI82" s="76"/>
      <c r="AJ82" s="76"/>
      <c r="AK82" s="76"/>
      <c r="AL82" s="76"/>
      <c r="AM82" s="80"/>
      <c r="AN82" s="79"/>
      <c r="AO82" s="76"/>
      <c r="AP82" s="76"/>
      <c r="AQ82" s="76"/>
      <c r="AR82" s="76"/>
      <c r="AS82" s="80"/>
      <c r="AT82" s="79"/>
      <c r="AU82" s="76"/>
      <c r="AV82" s="76"/>
      <c r="AW82" s="76"/>
      <c r="AX82" s="76"/>
      <c r="AY82" s="80"/>
      <c r="AZ82" s="79"/>
      <c r="BA82" s="76"/>
      <c r="BB82" s="76"/>
      <c r="BC82" s="76"/>
      <c r="BD82" s="76"/>
      <c r="BE82" s="80"/>
      <c r="BF82" s="79"/>
      <c r="BG82" s="76"/>
      <c r="BH82" s="76"/>
      <c r="BI82" s="76"/>
      <c r="BJ82" s="76"/>
      <c r="BK82" s="80"/>
      <c r="BM82" s="125">
        <f t="shared" ref="BM82:BM89" si="192">SUM(V82:AA82)</f>
        <v>1</v>
      </c>
      <c r="BN82" s="126">
        <f t="shared" ref="BN82:BN89" si="193">SUM(AB82:AG82)</f>
        <v>0</v>
      </c>
      <c r="BO82" s="126">
        <f t="shared" ref="BO82:BO89" si="194">SUM(AH82:AM82)</f>
        <v>0</v>
      </c>
      <c r="BP82" s="126">
        <f t="shared" ref="BP82:BP89" si="195">SUM(AN82:AS82)</f>
        <v>0</v>
      </c>
      <c r="BQ82" s="126">
        <f>SUM(AT82:AY82)</f>
        <v>0</v>
      </c>
      <c r="BR82" s="126">
        <f t="shared" ref="BR82:BS89" si="196">SUM(AZ82:BE82)</f>
        <v>0</v>
      </c>
      <c r="BS82" s="127">
        <f t="shared" ref="BS82:BS89" si="197">SUM(BF82:BK82)</f>
        <v>0</v>
      </c>
      <c r="BT82" s="74"/>
      <c r="BU82" s="125">
        <f t="shared" ref="BU82:BU89" si="198">(BM82/$K82)*$O82</f>
        <v>4</v>
      </c>
      <c r="BV82" s="126">
        <f t="shared" ref="BV82:BV89" si="199">(BN82/$K82)*$O82</f>
        <v>0</v>
      </c>
      <c r="BW82" s="126">
        <f t="shared" ref="BW82:BW89" si="200">(BO82/$K82)*$O82</f>
        <v>0</v>
      </c>
      <c r="BX82" s="126">
        <f t="shared" ref="BX82:BX89" si="201">(BP82/$K82)*$O82</f>
        <v>0</v>
      </c>
      <c r="BY82" s="126">
        <f t="shared" ref="BY82:CA89" si="202">(BQ82/$K82)*$O82</f>
        <v>0</v>
      </c>
      <c r="BZ82" s="126">
        <f t="shared" si="202"/>
        <v>0</v>
      </c>
      <c r="CA82" s="126">
        <f t="shared" si="202"/>
        <v>0</v>
      </c>
    </row>
    <row r="83" spans="1:79">
      <c r="A83" s="147" t="str">
        <f t="shared" si="169"/>
        <v>D</v>
      </c>
      <c r="B83" s="148">
        <f t="shared" si="170"/>
        <v>40000</v>
      </c>
      <c r="C83" s="149" t="s">
        <v>96</v>
      </c>
      <c r="D83" s="150" t="s">
        <v>97</v>
      </c>
      <c r="E83" s="150" t="s">
        <v>0</v>
      </c>
      <c r="F83" s="145" t="s">
        <v>69</v>
      </c>
      <c r="G83" s="150" t="s">
        <v>0</v>
      </c>
      <c r="H83" s="150" t="s">
        <v>0</v>
      </c>
      <c r="I83" s="150" t="s">
        <v>0</v>
      </c>
      <c r="J83" s="151" t="s">
        <v>0</v>
      </c>
      <c r="K83" s="13">
        <v>4</v>
      </c>
      <c r="L83" s="12" t="s">
        <v>32</v>
      </c>
      <c r="M83" s="13">
        <v>16</v>
      </c>
      <c r="N83" s="13">
        <v>0</v>
      </c>
      <c r="O83" s="14">
        <v>16</v>
      </c>
      <c r="P83" s="113">
        <f t="shared" si="187"/>
        <v>4</v>
      </c>
      <c r="Q83" s="114">
        <f t="shared" si="188"/>
        <v>0</v>
      </c>
      <c r="R83" s="114">
        <f t="shared" si="189"/>
        <v>16</v>
      </c>
      <c r="S83" s="114">
        <f t="shared" si="190"/>
        <v>0</v>
      </c>
      <c r="T83" s="93">
        <f t="shared" si="191"/>
        <v>1</v>
      </c>
      <c r="U83" t="s">
        <v>0</v>
      </c>
      <c r="V83" s="79"/>
      <c r="W83" s="76"/>
      <c r="X83" s="76"/>
      <c r="Y83" s="76"/>
      <c r="Z83" s="76"/>
      <c r="AA83" s="80"/>
      <c r="AB83" s="79"/>
      <c r="AC83" s="76"/>
      <c r="AD83" s="76"/>
      <c r="AE83" s="76"/>
      <c r="AF83" s="76"/>
      <c r="AG83" s="80">
        <v>4</v>
      </c>
      <c r="AH83" s="79"/>
      <c r="AI83" s="76"/>
      <c r="AJ83" s="76"/>
      <c r="AK83" s="76"/>
      <c r="AL83" s="76"/>
      <c r="AM83" s="80"/>
      <c r="AN83" s="79"/>
      <c r="AO83" s="76"/>
      <c r="AP83" s="76"/>
      <c r="AQ83" s="76"/>
      <c r="AR83" s="76"/>
      <c r="AS83" s="80"/>
      <c r="AT83" s="79"/>
      <c r="AU83" s="76"/>
      <c r="AV83" s="76"/>
      <c r="AW83" s="76"/>
      <c r="AX83" s="76"/>
      <c r="AY83" s="80"/>
      <c r="AZ83" s="79"/>
      <c r="BA83" s="76"/>
      <c r="BB83" s="76"/>
      <c r="BC83" s="76"/>
      <c r="BD83" s="76"/>
      <c r="BE83" s="80"/>
      <c r="BF83" s="79"/>
      <c r="BG83" s="76"/>
      <c r="BH83" s="76"/>
      <c r="BI83" s="76"/>
      <c r="BJ83" s="76"/>
      <c r="BK83" s="80"/>
      <c r="BM83" s="125">
        <f t="shared" si="192"/>
        <v>0</v>
      </c>
      <c r="BN83" s="126">
        <f t="shared" si="193"/>
        <v>4</v>
      </c>
      <c r="BO83" s="126">
        <f t="shared" si="194"/>
        <v>0</v>
      </c>
      <c r="BP83" s="126">
        <f t="shared" si="195"/>
        <v>0</v>
      </c>
      <c r="BQ83" s="126">
        <f>SUM(AT83:AY83)</f>
        <v>0</v>
      </c>
      <c r="BR83" s="126">
        <f t="shared" si="196"/>
        <v>0</v>
      </c>
      <c r="BS83" s="127">
        <f t="shared" si="197"/>
        <v>0</v>
      </c>
      <c r="BT83" s="74"/>
      <c r="BU83" s="125">
        <f t="shared" si="198"/>
        <v>0</v>
      </c>
      <c r="BV83" s="126">
        <f t="shared" si="199"/>
        <v>16</v>
      </c>
      <c r="BW83" s="126">
        <f t="shared" si="200"/>
        <v>0</v>
      </c>
      <c r="BX83" s="126">
        <f t="shared" si="201"/>
        <v>0</v>
      </c>
      <c r="BY83" s="126">
        <f t="shared" si="202"/>
        <v>0</v>
      </c>
      <c r="BZ83" s="126">
        <f t="shared" si="202"/>
        <v>0</v>
      </c>
      <c r="CA83" s="126">
        <f t="shared" si="202"/>
        <v>0</v>
      </c>
    </row>
    <row r="84" spans="1:79">
      <c r="A84" s="147" t="str">
        <f t="shared" si="169"/>
        <v>D</v>
      </c>
      <c r="B84" s="148">
        <f t="shared" si="170"/>
        <v>40000</v>
      </c>
      <c r="C84" s="149" t="s">
        <v>96</v>
      </c>
      <c r="D84" s="150" t="s">
        <v>97</v>
      </c>
      <c r="E84" s="150" t="s">
        <v>0</v>
      </c>
      <c r="F84" s="145" t="s">
        <v>70</v>
      </c>
      <c r="G84" s="150" t="s">
        <v>0</v>
      </c>
      <c r="H84" s="150" t="s">
        <v>0</v>
      </c>
      <c r="I84" s="150" t="s">
        <v>0</v>
      </c>
      <c r="J84" s="151" t="s">
        <v>0</v>
      </c>
      <c r="K84" s="13">
        <v>4</v>
      </c>
      <c r="L84" s="12" t="s">
        <v>32</v>
      </c>
      <c r="M84" s="13">
        <v>6</v>
      </c>
      <c r="N84" s="13">
        <v>0</v>
      </c>
      <c r="O84" s="14">
        <v>6</v>
      </c>
      <c r="P84" s="113">
        <f t="shared" si="187"/>
        <v>4</v>
      </c>
      <c r="Q84" s="114">
        <f t="shared" si="188"/>
        <v>0</v>
      </c>
      <c r="R84" s="114">
        <f t="shared" si="189"/>
        <v>6</v>
      </c>
      <c r="S84" s="114">
        <f t="shared" si="190"/>
        <v>0</v>
      </c>
      <c r="T84" s="93">
        <f t="shared" si="191"/>
        <v>1</v>
      </c>
      <c r="U84" t="s">
        <v>0</v>
      </c>
      <c r="V84" s="79"/>
      <c r="W84" s="76"/>
      <c r="X84" s="76">
        <v>4</v>
      </c>
      <c r="Y84" s="76"/>
      <c r="Z84" s="76"/>
      <c r="AA84" s="80"/>
      <c r="AB84" s="79"/>
      <c r="AC84" s="76"/>
      <c r="AD84" s="76"/>
      <c r="AE84" s="76"/>
      <c r="AF84" s="76"/>
      <c r="AG84" s="80"/>
      <c r="AH84" s="79"/>
      <c r="AI84" s="76"/>
      <c r="AJ84" s="76"/>
      <c r="AK84" s="76"/>
      <c r="AL84" s="76"/>
      <c r="AM84" s="80"/>
      <c r="AN84" s="79"/>
      <c r="AO84" s="76"/>
      <c r="AP84" s="76"/>
      <c r="AQ84" s="76"/>
      <c r="AR84" s="76"/>
      <c r="AS84" s="80"/>
      <c r="AT84" s="79"/>
      <c r="AU84" s="76"/>
      <c r="AV84" s="76"/>
      <c r="AW84" s="76"/>
      <c r="AX84" s="76"/>
      <c r="AY84" s="80"/>
      <c r="AZ84" s="79"/>
      <c r="BA84" s="76"/>
      <c r="BB84" s="76"/>
      <c r="BC84" s="76"/>
      <c r="BD84" s="76"/>
      <c r="BE84" s="80"/>
      <c r="BF84" s="79"/>
      <c r="BG84" s="76"/>
      <c r="BH84" s="76"/>
      <c r="BI84" s="76"/>
      <c r="BJ84" s="76"/>
      <c r="BK84" s="80"/>
      <c r="BM84" s="125">
        <f t="shared" si="192"/>
        <v>4</v>
      </c>
      <c r="BN84" s="126">
        <f t="shared" si="193"/>
        <v>0</v>
      </c>
      <c r="BO84" s="126">
        <f t="shared" si="194"/>
        <v>0</v>
      </c>
      <c r="BP84" s="126">
        <f t="shared" si="195"/>
        <v>0</v>
      </c>
      <c r="BQ84" s="126">
        <f>SUM(AT84:AY84)</f>
        <v>0</v>
      </c>
      <c r="BR84" s="126">
        <f t="shared" si="196"/>
        <v>0</v>
      </c>
      <c r="BS84" s="127">
        <f t="shared" si="197"/>
        <v>0</v>
      </c>
      <c r="BT84" s="74"/>
      <c r="BU84" s="125">
        <f t="shared" si="198"/>
        <v>6</v>
      </c>
      <c r="BV84" s="126">
        <f t="shared" si="199"/>
        <v>0</v>
      </c>
      <c r="BW84" s="126">
        <f t="shared" si="200"/>
        <v>0</v>
      </c>
      <c r="BX84" s="126">
        <f t="shared" si="201"/>
        <v>0</v>
      </c>
      <c r="BY84" s="126">
        <f t="shared" si="202"/>
        <v>0</v>
      </c>
      <c r="BZ84" s="126">
        <f t="shared" si="202"/>
        <v>0</v>
      </c>
      <c r="CA84" s="126">
        <f t="shared" si="202"/>
        <v>0</v>
      </c>
    </row>
    <row r="85" spans="1:79">
      <c r="A85" s="147" t="str">
        <f t="shared" si="169"/>
        <v>D</v>
      </c>
      <c r="B85" s="148">
        <f t="shared" si="170"/>
        <v>40000</v>
      </c>
      <c r="C85" s="149" t="s">
        <v>96</v>
      </c>
      <c r="D85" s="150" t="s">
        <v>97</v>
      </c>
      <c r="E85" s="150" t="s">
        <v>0</v>
      </c>
      <c r="F85" s="145" t="s">
        <v>71</v>
      </c>
      <c r="G85" s="150" t="s">
        <v>0</v>
      </c>
      <c r="H85" s="150" t="s">
        <v>0</v>
      </c>
      <c r="I85" s="150" t="s">
        <v>0</v>
      </c>
      <c r="J85" s="151" t="s">
        <v>0</v>
      </c>
      <c r="K85" s="13">
        <v>4</v>
      </c>
      <c r="L85" s="12" t="s">
        <v>32</v>
      </c>
      <c r="M85" s="13">
        <v>8</v>
      </c>
      <c r="N85" s="13">
        <v>4</v>
      </c>
      <c r="O85" s="14">
        <v>12</v>
      </c>
      <c r="P85" s="113">
        <f t="shared" si="187"/>
        <v>4</v>
      </c>
      <c r="Q85" s="114">
        <f t="shared" si="188"/>
        <v>0</v>
      </c>
      <c r="R85" s="114">
        <f t="shared" si="189"/>
        <v>12</v>
      </c>
      <c r="S85" s="114">
        <f t="shared" si="190"/>
        <v>0</v>
      </c>
      <c r="T85" s="93">
        <f t="shared" si="191"/>
        <v>1</v>
      </c>
      <c r="U85" t="s">
        <v>0</v>
      </c>
      <c r="V85" s="79"/>
      <c r="W85" s="76"/>
      <c r="X85" s="76"/>
      <c r="Y85" s="76"/>
      <c r="Z85" s="76"/>
      <c r="AA85" s="80"/>
      <c r="AB85" s="79">
        <v>4</v>
      </c>
      <c r="AC85" s="76"/>
      <c r="AD85" s="76"/>
      <c r="AE85" s="76"/>
      <c r="AF85" s="76"/>
      <c r="AG85" s="80"/>
      <c r="AH85" s="79"/>
      <c r="AI85" s="76"/>
      <c r="AJ85" s="76"/>
      <c r="AK85" s="76"/>
      <c r="AL85" s="76"/>
      <c r="AM85" s="80"/>
      <c r="AN85" s="79"/>
      <c r="AO85" s="76"/>
      <c r="AP85" s="76"/>
      <c r="AQ85" s="76"/>
      <c r="AR85" s="76"/>
      <c r="AS85" s="80"/>
      <c r="AT85" s="79"/>
      <c r="AU85" s="76"/>
      <c r="AV85" s="76"/>
      <c r="AW85" s="76"/>
      <c r="AX85" s="76"/>
      <c r="AY85" s="80"/>
      <c r="AZ85" s="79"/>
      <c r="BA85" s="76"/>
      <c r="BB85" s="76"/>
      <c r="BC85" s="76"/>
      <c r="BD85" s="76"/>
      <c r="BE85" s="80"/>
      <c r="BF85" s="79"/>
      <c r="BG85" s="76"/>
      <c r="BH85" s="76"/>
      <c r="BI85" s="76"/>
      <c r="BJ85" s="76"/>
      <c r="BK85" s="80"/>
      <c r="BM85" s="125">
        <f t="shared" si="192"/>
        <v>0</v>
      </c>
      <c r="BN85" s="126">
        <f t="shared" si="193"/>
        <v>4</v>
      </c>
      <c r="BO85" s="126">
        <f t="shared" si="194"/>
        <v>0</v>
      </c>
      <c r="BP85" s="126">
        <f t="shared" si="195"/>
        <v>0</v>
      </c>
      <c r="BQ85" s="126">
        <f>SUM(AT85:AY85)</f>
        <v>0</v>
      </c>
      <c r="BR85" s="126">
        <f t="shared" si="196"/>
        <v>0</v>
      </c>
      <c r="BS85" s="127">
        <f t="shared" si="197"/>
        <v>0</v>
      </c>
      <c r="BT85" s="74"/>
      <c r="BU85" s="125">
        <f t="shared" si="198"/>
        <v>0</v>
      </c>
      <c r="BV85" s="126">
        <f t="shared" si="199"/>
        <v>12</v>
      </c>
      <c r="BW85" s="126">
        <f t="shared" si="200"/>
        <v>0</v>
      </c>
      <c r="BX85" s="126">
        <f t="shared" si="201"/>
        <v>0</v>
      </c>
      <c r="BY85" s="126">
        <f t="shared" si="202"/>
        <v>0</v>
      </c>
      <c r="BZ85" s="126">
        <f t="shared" si="202"/>
        <v>0</v>
      </c>
      <c r="CA85" s="126">
        <f t="shared" si="202"/>
        <v>0</v>
      </c>
    </row>
    <row r="86" spans="1:79">
      <c r="A86" s="147" t="str">
        <f t="shared" si="169"/>
        <v>D</v>
      </c>
      <c r="B86" s="148">
        <f t="shared" si="170"/>
        <v>40000</v>
      </c>
      <c r="C86" s="149" t="s">
        <v>96</v>
      </c>
      <c r="D86" s="150" t="s">
        <v>97</v>
      </c>
      <c r="E86" s="150" t="s">
        <v>0</v>
      </c>
      <c r="F86" s="145" t="s">
        <v>99</v>
      </c>
      <c r="G86" s="150" t="s">
        <v>0</v>
      </c>
      <c r="H86" s="150" t="s">
        <v>0</v>
      </c>
      <c r="I86" s="150" t="s">
        <v>0</v>
      </c>
      <c r="J86" s="151" t="s">
        <v>0</v>
      </c>
      <c r="K86" s="13">
        <v>1</v>
      </c>
      <c r="L86" s="12" t="s">
        <v>32</v>
      </c>
      <c r="M86" s="13">
        <v>3</v>
      </c>
      <c r="N86" s="13">
        <v>0</v>
      </c>
      <c r="O86" s="14">
        <v>3</v>
      </c>
      <c r="P86" s="113">
        <f t="shared" si="187"/>
        <v>1</v>
      </c>
      <c r="Q86" s="114">
        <f t="shared" si="188"/>
        <v>0</v>
      </c>
      <c r="R86" s="114">
        <f t="shared" si="189"/>
        <v>3</v>
      </c>
      <c r="S86" s="114">
        <f t="shared" si="190"/>
        <v>0</v>
      </c>
      <c r="T86" s="93">
        <f t="shared" si="191"/>
        <v>1</v>
      </c>
      <c r="U86" t="s">
        <v>0</v>
      </c>
      <c r="V86" s="79"/>
      <c r="W86" s="76"/>
      <c r="X86" s="76"/>
      <c r="Y86" s="76"/>
      <c r="Z86" s="76"/>
      <c r="AA86" s="80"/>
      <c r="AB86" s="79"/>
      <c r="AC86" s="76"/>
      <c r="AD86" s="76"/>
      <c r="AE86" s="76"/>
      <c r="AF86" s="76"/>
      <c r="AG86" s="80"/>
      <c r="AH86" s="79"/>
      <c r="AI86" s="76"/>
      <c r="AJ86" s="76"/>
      <c r="AK86" s="76"/>
      <c r="AL86" s="76"/>
      <c r="AM86" s="80"/>
      <c r="AN86" s="79"/>
      <c r="AO86" s="76"/>
      <c r="AP86" s="76"/>
      <c r="AQ86" s="76"/>
      <c r="AR86" s="76"/>
      <c r="AS86" s="80">
        <v>1</v>
      </c>
      <c r="AT86" s="79"/>
      <c r="AU86" s="76"/>
      <c r="AV86" s="76"/>
      <c r="AW86" s="76"/>
      <c r="AX86" s="76"/>
      <c r="AY86" s="80"/>
      <c r="AZ86" s="79"/>
      <c r="BA86" s="76"/>
      <c r="BB86" s="76"/>
      <c r="BC86" s="76"/>
      <c r="BD86" s="76"/>
      <c r="BE86" s="80"/>
      <c r="BF86" s="79"/>
      <c r="BG86" s="76"/>
      <c r="BH86" s="76"/>
      <c r="BI86" s="76"/>
      <c r="BJ86" s="76"/>
      <c r="BK86" s="80"/>
      <c r="BM86" s="125">
        <f t="shared" si="192"/>
        <v>0</v>
      </c>
      <c r="BN86" s="126">
        <f t="shared" si="193"/>
        <v>0</v>
      </c>
      <c r="BO86" s="126">
        <f t="shared" si="194"/>
        <v>0</v>
      </c>
      <c r="BP86" s="126">
        <f t="shared" si="195"/>
        <v>1</v>
      </c>
      <c r="BQ86" s="126">
        <f>SUM(AT86:AY86)</f>
        <v>0</v>
      </c>
      <c r="BR86" s="126">
        <f t="shared" si="196"/>
        <v>0</v>
      </c>
      <c r="BS86" s="127">
        <f t="shared" si="197"/>
        <v>0</v>
      </c>
      <c r="BT86" s="74"/>
      <c r="BU86" s="125">
        <f t="shared" si="198"/>
        <v>0</v>
      </c>
      <c r="BV86" s="126">
        <f t="shared" si="199"/>
        <v>0</v>
      </c>
      <c r="BW86" s="126">
        <f t="shared" si="200"/>
        <v>0</v>
      </c>
      <c r="BX86" s="126">
        <f t="shared" si="201"/>
        <v>3</v>
      </c>
      <c r="BY86" s="126">
        <f t="shared" si="202"/>
        <v>0</v>
      </c>
      <c r="BZ86" s="126">
        <f t="shared" si="202"/>
        <v>0</v>
      </c>
      <c r="CA86" s="126">
        <f t="shared" si="202"/>
        <v>0</v>
      </c>
    </row>
    <row r="87" spans="1:79">
      <c r="A87" s="147" t="str">
        <f t="shared" si="169"/>
        <v>D</v>
      </c>
      <c r="B87" s="148">
        <f t="shared" si="170"/>
        <v>40000</v>
      </c>
      <c r="C87" s="149" t="s">
        <v>96</v>
      </c>
      <c r="D87" s="150" t="s">
        <v>97</v>
      </c>
      <c r="E87" s="150" t="s">
        <v>0</v>
      </c>
      <c r="F87" s="145" t="s">
        <v>100</v>
      </c>
      <c r="G87" s="150" t="s">
        <v>0</v>
      </c>
      <c r="H87" s="150" t="s">
        <v>0</v>
      </c>
      <c r="I87" s="150" t="s">
        <v>0</v>
      </c>
      <c r="J87" s="151" t="s">
        <v>0</v>
      </c>
      <c r="K87" s="13">
        <v>1</v>
      </c>
      <c r="L87" s="12" t="s">
        <v>32</v>
      </c>
      <c r="M87" s="13">
        <v>2</v>
      </c>
      <c r="N87" s="13">
        <v>0</v>
      </c>
      <c r="O87" s="14">
        <v>2</v>
      </c>
      <c r="P87" s="113">
        <f t="shared" si="187"/>
        <v>1</v>
      </c>
      <c r="Q87" s="114">
        <f t="shared" si="188"/>
        <v>0</v>
      </c>
      <c r="R87" s="114">
        <f t="shared" si="189"/>
        <v>2</v>
      </c>
      <c r="S87" s="114">
        <f t="shared" si="190"/>
        <v>0</v>
      </c>
      <c r="T87" s="93">
        <f t="shared" si="191"/>
        <v>1</v>
      </c>
      <c r="U87" t="s">
        <v>0</v>
      </c>
      <c r="V87" s="79"/>
      <c r="W87" s="76"/>
      <c r="X87" s="76"/>
      <c r="Y87" s="76"/>
      <c r="Z87" s="76"/>
      <c r="AA87" s="80"/>
      <c r="AB87" s="79"/>
      <c r="AC87" s="76"/>
      <c r="AD87" s="76"/>
      <c r="AE87" s="76"/>
      <c r="AF87" s="76"/>
      <c r="AG87" s="80"/>
      <c r="AH87" s="79"/>
      <c r="AI87" s="76"/>
      <c r="AJ87" s="76"/>
      <c r="AK87" s="76"/>
      <c r="AL87" s="76"/>
      <c r="AM87" s="80"/>
      <c r="AN87" s="79"/>
      <c r="AO87" s="76"/>
      <c r="AP87" s="76"/>
      <c r="AQ87" s="76"/>
      <c r="AR87" s="76"/>
      <c r="AS87" s="80">
        <v>1</v>
      </c>
      <c r="AT87" s="79"/>
      <c r="AU87" s="76"/>
      <c r="AV87" s="76"/>
      <c r="AW87" s="76"/>
      <c r="AX87" s="76"/>
      <c r="AY87" s="80"/>
      <c r="AZ87" s="79"/>
      <c r="BA87" s="76"/>
      <c r="BB87" s="76"/>
      <c r="BC87" s="76"/>
      <c r="BD87" s="76"/>
      <c r="BE87" s="80"/>
      <c r="BF87" s="79"/>
      <c r="BG87" s="76"/>
      <c r="BH87" s="76"/>
      <c r="BI87" s="76"/>
      <c r="BJ87" s="76"/>
      <c r="BK87" s="80"/>
      <c r="BM87" s="125">
        <f t="shared" si="192"/>
        <v>0</v>
      </c>
      <c r="BN87" s="126">
        <f t="shared" si="193"/>
        <v>0</v>
      </c>
      <c r="BO87" s="126">
        <f t="shared" si="194"/>
        <v>0</v>
      </c>
      <c r="BP87" s="126">
        <f t="shared" si="195"/>
        <v>1</v>
      </c>
      <c r="BQ87" s="126">
        <f>SUM(AT87:AY87)</f>
        <v>0</v>
      </c>
      <c r="BR87" s="126">
        <f t="shared" si="196"/>
        <v>0</v>
      </c>
      <c r="BS87" s="127">
        <f t="shared" si="197"/>
        <v>0</v>
      </c>
      <c r="BT87" s="74"/>
      <c r="BU87" s="125">
        <f t="shared" si="198"/>
        <v>0</v>
      </c>
      <c r="BV87" s="126">
        <f t="shared" si="199"/>
        <v>0</v>
      </c>
      <c r="BW87" s="126">
        <f t="shared" si="200"/>
        <v>0</v>
      </c>
      <c r="BX87" s="126">
        <f t="shared" si="201"/>
        <v>2</v>
      </c>
      <c r="BY87" s="126">
        <f t="shared" si="202"/>
        <v>0</v>
      </c>
      <c r="BZ87" s="126">
        <f t="shared" si="202"/>
        <v>0</v>
      </c>
      <c r="CA87" s="126">
        <f t="shared" si="202"/>
        <v>0</v>
      </c>
    </row>
    <row r="88" spans="1:79">
      <c r="A88" s="147" t="str">
        <f t="shared" si="169"/>
        <v>D</v>
      </c>
      <c r="B88" s="148">
        <f t="shared" si="170"/>
        <v>40000</v>
      </c>
      <c r="C88" s="149" t="s">
        <v>96</v>
      </c>
      <c r="D88" s="150" t="s">
        <v>97</v>
      </c>
      <c r="E88" s="150" t="s">
        <v>0</v>
      </c>
      <c r="F88" s="145" t="s">
        <v>101</v>
      </c>
      <c r="G88" s="150" t="s">
        <v>0</v>
      </c>
      <c r="H88" s="150" t="s">
        <v>0</v>
      </c>
      <c r="I88" s="150" t="s">
        <v>0</v>
      </c>
      <c r="J88" s="151" t="s">
        <v>0</v>
      </c>
      <c r="K88" s="13">
        <v>4</v>
      </c>
      <c r="L88" s="12" t="s">
        <v>32</v>
      </c>
      <c r="M88" s="13">
        <v>4</v>
      </c>
      <c r="N88" s="13">
        <v>0</v>
      </c>
      <c r="O88" s="14">
        <v>4</v>
      </c>
      <c r="P88" s="113">
        <f t="shared" si="187"/>
        <v>4</v>
      </c>
      <c r="Q88" s="114">
        <f t="shared" si="188"/>
        <v>0</v>
      </c>
      <c r="R88" s="114">
        <f t="shared" si="189"/>
        <v>4</v>
      </c>
      <c r="S88" s="114">
        <f t="shared" si="190"/>
        <v>0</v>
      </c>
      <c r="T88" s="93">
        <f t="shared" si="191"/>
        <v>1</v>
      </c>
      <c r="U88" t="s">
        <v>0</v>
      </c>
      <c r="V88" s="79"/>
      <c r="W88" s="76"/>
      <c r="X88" s="76"/>
      <c r="Y88" s="76"/>
      <c r="Z88" s="76"/>
      <c r="AA88" s="80"/>
      <c r="AB88" s="79"/>
      <c r="AC88" s="76"/>
      <c r="AD88" s="76"/>
      <c r="AE88" s="76"/>
      <c r="AF88" s="76"/>
      <c r="AG88" s="80"/>
      <c r="AH88" s="79"/>
      <c r="AI88" s="76"/>
      <c r="AJ88" s="76"/>
      <c r="AK88" s="76"/>
      <c r="AL88" s="76"/>
      <c r="AM88" s="80"/>
      <c r="AN88" s="79"/>
      <c r="AO88" s="76"/>
      <c r="AP88" s="76"/>
      <c r="AQ88" s="76"/>
      <c r="AR88" s="76"/>
      <c r="AS88" s="80">
        <v>4</v>
      </c>
      <c r="AT88" s="79"/>
      <c r="AU88" s="76"/>
      <c r="AV88" s="76"/>
      <c r="AW88" s="76"/>
      <c r="AX88" s="76"/>
      <c r="AY88" s="80"/>
      <c r="AZ88" s="79"/>
      <c r="BA88" s="76"/>
      <c r="BB88" s="76"/>
      <c r="BC88" s="76"/>
      <c r="BD88" s="76"/>
      <c r="BE88" s="80"/>
      <c r="BF88" s="79"/>
      <c r="BG88" s="76"/>
      <c r="BH88" s="76"/>
      <c r="BI88" s="76"/>
      <c r="BJ88" s="76"/>
      <c r="BK88" s="80"/>
      <c r="BM88" s="125">
        <f t="shared" si="192"/>
        <v>0</v>
      </c>
      <c r="BN88" s="126">
        <f t="shared" si="193"/>
        <v>0</v>
      </c>
      <c r="BO88" s="126">
        <f t="shared" si="194"/>
        <v>0</v>
      </c>
      <c r="BP88" s="126">
        <f t="shared" si="195"/>
        <v>4</v>
      </c>
      <c r="BQ88" s="126">
        <f>SUM(AT88:AY88)</f>
        <v>0</v>
      </c>
      <c r="BR88" s="126">
        <f t="shared" si="196"/>
        <v>0</v>
      </c>
      <c r="BS88" s="127">
        <f t="shared" si="197"/>
        <v>0</v>
      </c>
      <c r="BT88" s="74"/>
      <c r="BU88" s="125">
        <f t="shared" si="198"/>
        <v>0</v>
      </c>
      <c r="BV88" s="126">
        <f t="shared" si="199"/>
        <v>0</v>
      </c>
      <c r="BW88" s="126">
        <f t="shared" si="200"/>
        <v>0</v>
      </c>
      <c r="BX88" s="126">
        <f t="shared" si="201"/>
        <v>4</v>
      </c>
      <c r="BY88" s="126">
        <f t="shared" si="202"/>
        <v>0</v>
      </c>
      <c r="BZ88" s="126">
        <f t="shared" si="202"/>
        <v>0</v>
      </c>
      <c r="CA88" s="126">
        <f t="shared" si="202"/>
        <v>0</v>
      </c>
    </row>
    <row r="89" spans="1:79">
      <c r="A89" s="147" t="str">
        <f t="shared" si="169"/>
        <v>D</v>
      </c>
      <c r="B89" s="148">
        <f t="shared" si="170"/>
        <v>40000</v>
      </c>
      <c r="C89" s="149" t="s">
        <v>96</v>
      </c>
      <c r="D89" s="150" t="s">
        <v>97</v>
      </c>
      <c r="E89" s="150" t="s">
        <v>0</v>
      </c>
      <c r="F89" s="145" t="s">
        <v>72</v>
      </c>
      <c r="G89" s="150" t="s">
        <v>0</v>
      </c>
      <c r="H89" s="150" t="s">
        <v>0</v>
      </c>
      <c r="I89" s="150" t="s">
        <v>0</v>
      </c>
      <c r="J89" s="151" t="s">
        <v>0</v>
      </c>
      <c r="K89" s="13">
        <v>5</v>
      </c>
      <c r="L89" s="12" t="s">
        <v>67</v>
      </c>
      <c r="M89" s="13">
        <v>3.75</v>
      </c>
      <c r="N89" s="13">
        <v>0</v>
      </c>
      <c r="O89" s="14">
        <v>3.75</v>
      </c>
      <c r="P89" s="113">
        <f t="shared" si="187"/>
        <v>5</v>
      </c>
      <c r="Q89" s="114">
        <f t="shared" si="188"/>
        <v>0</v>
      </c>
      <c r="R89" s="114">
        <f t="shared" si="189"/>
        <v>3.75</v>
      </c>
      <c r="S89" s="114">
        <f t="shared" si="190"/>
        <v>0</v>
      </c>
      <c r="T89" s="93">
        <f t="shared" si="191"/>
        <v>1</v>
      </c>
      <c r="U89" t="s">
        <v>0</v>
      </c>
      <c r="V89" s="79"/>
      <c r="W89" s="76"/>
      <c r="X89" s="76"/>
      <c r="Y89" s="76"/>
      <c r="Z89" s="76"/>
      <c r="AA89" s="80"/>
      <c r="AB89" s="79"/>
      <c r="AC89" s="76"/>
      <c r="AD89" s="76"/>
      <c r="AE89" s="76"/>
      <c r="AF89" s="76"/>
      <c r="AG89" s="80"/>
      <c r="AH89" s="79"/>
      <c r="AI89" s="76"/>
      <c r="AJ89" s="76"/>
      <c r="AK89" s="76"/>
      <c r="AL89" s="76"/>
      <c r="AM89" s="80"/>
      <c r="AN89" s="79"/>
      <c r="AO89" s="76"/>
      <c r="AP89" s="76"/>
      <c r="AQ89" s="76"/>
      <c r="AR89" s="76"/>
      <c r="AS89" s="80"/>
      <c r="AT89" s="79"/>
      <c r="AU89" s="76"/>
      <c r="AV89" s="76"/>
      <c r="AW89" s="76"/>
      <c r="AX89" s="76"/>
      <c r="AY89" s="80">
        <v>5</v>
      </c>
      <c r="AZ89" s="79"/>
      <c r="BA89" s="76"/>
      <c r="BB89" s="76"/>
      <c r="BC89" s="76"/>
      <c r="BD89" s="76"/>
      <c r="BE89" s="80"/>
      <c r="BF89" s="79"/>
      <c r="BG89" s="76"/>
      <c r="BH89" s="76"/>
      <c r="BI89" s="76"/>
      <c r="BJ89" s="76"/>
      <c r="BK89" s="80"/>
      <c r="BM89" s="125">
        <f t="shared" si="192"/>
        <v>0</v>
      </c>
      <c r="BN89" s="126">
        <f t="shared" si="193"/>
        <v>0</v>
      </c>
      <c r="BO89" s="126">
        <f t="shared" si="194"/>
        <v>0</v>
      </c>
      <c r="BP89" s="126">
        <f t="shared" si="195"/>
        <v>0</v>
      </c>
      <c r="BQ89" s="126">
        <f>SUM(AT89:AY89)</f>
        <v>5</v>
      </c>
      <c r="BR89" s="126">
        <f t="shared" si="196"/>
        <v>0</v>
      </c>
      <c r="BS89" s="127">
        <f t="shared" si="197"/>
        <v>0</v>
      </c>
      <c r="BT89" s="74"/>
      <c r="BU89" s="125">
        <f t="shared" si="198"/>
        <v>0</v>
      </c>
      <c r="BV89" s="126">
        <f t="shared" si="199"/>
        <v>0</v>
      </c>
      <c r="BW89" s="126">
        <f t="shared" si="200"/>
        <v>0</v>
      </c>
      <c r="BX89" s="126">
        <f t="shared" si="201"/>
        <v>0</v>
      </c>
      <c r="BY89" s="126">
        <f t="shared" si="202"/>
        <v>3.75</v>
      </c>
      <c r="BZ89" s="126">
        <f t="shared" si="202"/>
        <v>0</v>
      </c>
      <c r="CA89" s="126">
        <f t="shared" si="202"/>
        <v>0</v>
      </c>
    </row>
    <row r="90" spans="1:79" ht="15.75">
      <c r="A90" s="152" t="str">
        <f t="shared" si="169"/>
        <v>P</v>
      </c>
      <c r="B90" s="153">
        <f t="shared" si="170"/>
        <v>40000</v>
      </c>
      <c r="C90" s="154" t="s">
        <v>102</v>
      </c>
      <c r="D90" s="155" t="s">
        <v>103</v>
      </c>
      <c r="E90" s="155" t="s">
        <v>0</v>
      </c>
      <c r="F90" s="156" t="s">
        <v>104</v>
      </c>
      <c r="G90" s="155" t="s">
        <v>54</v>
      </c>
      <c r="H90" s="155" t="s">
        <v>0</v>
      </c>
      <c r="I90" s="155" t="s">
        <v>0</v>
      </c>
      <c r="J90" s="157" t="s">
        <v>0</v>
      </c>
      <c r="K90" s="9">
        <v>0.25</v>
      </c>
      <c r="L90" s="8" t="s">
        <v>67</v>
      </c>
      <c r="M90" s="9">
        <v>42.19</v>
      </c>
      <c r="N90" s="9">
        <v>0</v>
      </c>
      <c r="O90" s="10">
        <v>42.19</v>
      </c>
      <c r="P90" s="111"/>
      <c r="Q90" s="112"/>
      <c r="R90" s="112">
        <f>SUMIFS(R91:R$415,$C91:$C$415,$C90)</f>
        <v>42</v>
      </c>
      <c r="S90" s="112">
        <f>SUMIFS(S91:S$415,$C91:$C$415,$C90)</f>
        <v>0.19</v>
      </c>
      <c r="T90" s="92">
        <f>R90/O90</f>
        <v>0.99549656316662727</v>
      </c>
      <c r="V90" s="77"/>
      <c r="W90" s="75"/>
      <c r="X90" s="75"/>
      <c r="Y90" s="75"/>
      <c r="Z90" s="75"/>
      <c r="AA90" s="78"/>
      <c r="AB90" s="77"/>
      <c r="AC90" s="75"/>
      <c r="AD90" s="75"/>
      <c r="AE90" s="75"/>
      <c r="AF90" s="75"/>
      <c r="AG90" s="78"/>
      <c r="AH90" s="77"/>
      <c r="AI90" s="75"/>
      <c r="AJ90" s="75"/>
      <c r="AK90" s="75"/>
      <c r="AL90" s="75"/>
      <c r="AM90" s="78"/>
      <c r="AN90" s="77"/>
      <c r="AO90" s="75"/>
      <c r="AP90" s="75"/>
      <c r="AQ90" s="75"/>
      <c r="AR90" s="75"/>
      <c r="AS90" s="78"/>
      <c r="AT90" s="77"/>
      <c r="AU90" s="75"/>
      <c r="AV90" s="75"/>
      <c r="AW90" s="75"/>
      <c r="AX90" s="75"/>
      <c r="AY90" s="78"/>
      <c r="AZ90" s="77"/>
      <c r="BA90" s="75"/>
      <c r="BB90" s="75"/>
      <c r="BC90" s="75"/>
      <c r="BD90" s="75"/>
      <c r="BE90" s="78"/>
      <c r="BF90" s="77"/>
      <c r="BG90" s="75"/>
      <c r="BH90" s="75"/>
      <c r="BI90" s="75"/>
      <c r="BJ90" s="75"/>
      <c r="BK90" s="78"/>
      <c r="BM90" s="122"/>
      <c r="BN90" s="123"/>
      <c r="BO90" s="123"/>
      <c r="BP90" s="123"/>
      <c r="BQ90" s="123"/>
      <c r="BR90" s="123"/>
      <c r="BS90" s="124"/>
      <c r="BT90" s="74"/>
      <c r="BU90" s="122"/>
      <c r="BV90" s="123"/>
      <c r="BW90" s="123"/>
      <c r="BX90" s="123"/>
      <c r="BY90" s="123"/>
      <c r="BZ90" s="123"/>
      <c r="CA90" s="123"/>
    </row>
    <row r="91" spans="1:79">
      <c r="A91" s="147" t="str">
        <f t="shared" si="169"/>
        <v>D</v>
      </c>
      <c r="B91" s="148">
        <f t="shared" si="170"/>
        <v>40000</v>
      </c>
      <c r="C91" s="149" t="s">
        <v>102</v>
      </c>
      <c r="D91" s="150" t="s">
        <v>103</v>
      </c>
      <c r="E91" s="150" t="s">
        <v>0</v>
      </c>
      <c r="F91" s="145" t="s">
        <v>68</v>
      </c>
      <c r="G91" s="150" t="s">
        <v>54</v>
      </c>
      <c r="H91" s="150" t="s">
        <v>0</v>
      </c>
      <c r="I91" s="150" t="s">
        <v>0</v>
      </c>
      <c r="J91" s="151" t="s">
        <v>0</v>
      </c>
      <c r="K91" s="13">
        <v>1</v>
      </c>
      <c r="L91" s="12" t="s">
        <v>32</v>
      </c>
      <c r="M91" s="13">
        <v>4</v>
      </c>
      <c r="N91" s="13">
        <v>0</v>
      </c>
      <c r="O91" s="14">
        <v>4</v>
      </c>
      <c r="P91" s="113">
        <f t="shared" ref="P91:P96" si="203">SUM(BM91:BS91)</f>
        <v>1</v>
      </c>
      <c r="Q91" s="114">
        <f t="shared" ref="Q91:Q96" si="204">K91-P91</f>
        <v>0</v>
      </c>
      <c r="R91" s="114">
        <f t="shared" ref="R91:R96" si="205">SUM(BU91:CA91)</f>
        <v>4</v>
      </c>
      <c r="S91" s="114">
        <f t="shared" ref="S91:S96" si="206">O91-R91</f>
        <v>0</v>
      </c>
      <c r="T91" s="93">
        <f t="shared" ref="T91:T96" si="207">R91/O91</f>
        <v>1</v>
      </c>
      <c r="U91" t="s">
        <v>0</v>
      </c>
      <c r="V91" s="79"/>
      <c r="W91" s="76">
        <v>1</v>
      </c>
      <c r="X91" s="76"/>
      <c r="Y91" s="76"/>
      <c r="Z91" s="76"/>
      <c r="AA91" s="80"/>
      <c r="AB91" s="79"/>
      <c r="AC91" s="76"/>
      <c r="AD91" s="76"/>
      <c r="AE91" s="76"/>
      <c r="AF91" s="76"/>
      <c r="AG91" s="80"/>
      <c r="AH91" s="79"/>
      <c r="AI91" s="76"/>
      <c r="AJ91" s="76"/>
      <c r="AK91" s="76"/>
      <c r="AL91" s="76"/>
      <c r="AM91" s="80"/>
      <c r="AN91" s="79"/>
      <c r="AO91" s="76"/>
      <c r="AP91" s="76"/>
      <c r="AQ91" s="76"/>
      <c r="AR91" s="76"/>
      <c r="AS91" s="80"/>
      <c r="AT91" s="79"/>
      <c r="AU91" s="76"/>
      <c r="AV91" s="76"/>
      <c r="AW91" s="76"/>
      <c r="AX91" s="76"/>
      <c r="AY91" s="80"/>
      <c r="AZ91" s="79"/>
      <c r="BA91" s="76"/>
      <c r="BB91" s="76"/>
      <c r="BC91" s="76"/>
      <c r="BD91" s="76"/>
      <c r="BE91" s="80"/>
      <c r="BF91" s="79"/>
      <c r="BG91" s="76"/>
      <c r="BH91" s="76"/>
      <c r="BI91" s="76"/>
      <c r="BJ91" s="76"/>
      <c r="BK91" s="80"/>
      <c r="BM91" s="125">
        <f t="shared" ref="BM91:BM96" si="208">SUM(V91:AA91)</f>
        <v>1</v>
      </c>
      <c r="BN91" s="126">
        <f t="shared" ref="BN91:BN96" si="209">SUM(AB91:AG91)</f>
        <v>0</v>
      </c>
      <c r="BO91" s="126">
        <f t="shared" ref="BO91:BO96" si="210">SUM(AH91:AM91)</f>
        <v>0</v>
      </c>
      <c r="BP91" s="126">
        <f t="shared" ref="BP91:BP96" si="211">SUM(AN91:AS91)</f>
        <v>0</v>
      </c>
      <c r="BQ91" s="126">
        <f>SUM(AT91:AY91)</f>
        <v>0</v>
      </c>
      <c r="BR91" s="126">
        <f t="shared" ref="BR91:BS96" si="212">SUM(AZ91:BE91)</f>
        <v>0</v>
      </c>
      <c r="BS91" s="127">
        <f t="shared" ref="BS91:BS96" si="213">SUM(BF91:BK91)</f>
        <v>0</v>
      </c>
      <c r="BT91" s="74"/>
      <c r="BU91" s="125">
        <f t="shared" ref="BU91:BU96" si="214">(BM91/$K91)*$O91</f>
        <v>4</v>
      </c>
      <c r="BV91" s="126">
        <f t="shared" ref="BV91:BV96" si="215">(BN91/$K91)*$O91</f>
        <v>0</v>
      </c>
      <c r="BW91" s="126">
        <f t="shared" ref="BW91:BW96" si="216">(BO91/$K91)*$O91</f>
        <v>0</v>
      </c>
      <c r="BX91" s="126">
        <f t="shared" ref="BX91:BX96" si="217">(BP91/$K91)*$O91</f>
        <v>0</v>
      </c>
      <c r="BY91" s="126">
        <f t="shared" ref="BY91:CA96" si="218">(BQ91/$K91)*$O91</f>
        <v>0</v>
      </c>
      <c r="BZ91" s="126">
        <f t="shared" si="218"/>
        <v>0</v>
      </c>
      <c r="CA91" s="126">
        <f t="shared" si="218"/>
        <v>0</v>
      </c>
    </row>
    <row r="92" spans="1:79">
      <c r="A92" s="147" t="str">
        <f t="shared" si="169"/>
        <v>D</v>
      </c>
      <c r="B92" s="148">
        <f t="shared" si="170"/>
        <v>40000</v>
      </c>
      <c r="C92" s="149" t="s">
        <v>102</v>
      </c>
      <c r="D92" s="150" t="s">
        <v>103</v>
      </c>
      <c r="E92" s="150" t="s">
        <v>0</v>
      </c>
      <c r="F92" s="145" t="s">
        <v>69</v>
      </c>
      <c r="G92" s="150" t="s">
        <v>54</v>
      </c>
      <c r="H92" s="150" t="s">
        <v>0</v>
      </c>
      <c r="I92" s="150" t="s">
        <v>0</v>
      </c>
      <c r="J92" s="151" t="s">
        <v>0</v>
      </c>
      <c r="K92" s="13">
        <v>4</v>
      </c>
      <c r="L92" s="12" t="s">
        <v>32</v>
      </c>
      <c r="M92" s="13">
        <v>8</v>
      </c>
      <c r="N92" s="13">
        <v>0</v>
      </c>
      <c r="O92" s="14">
        <v>8</v>
      </c>
      <c r="P92" s="113">
        <f t="shared" si="203"/>
        <v>4</v>
      </c>
      <c r="Q92" s="114">
        <f t="shared" si="204"/>
        <v>0</v>
      </c>
      <c r="R92" s="114">
        <f t="shared" si="205"/>
        <v>8</v>
      </c>
      <c r="S92" s="114">
        <f t="shared" si="206"/>
        <v>0</v>
      </c>
      <c r="T92" s="93">
        <f t="shared" si="207"/>
        <v>1</v>
      </c>
      <c r="U92" t="s">
        <v>0</v>
      </c>
      <c r="V92" s="79"/>
      <c r="W92" s="76"/>
      <c r="X92" s="76"/>
      <c r="Y92" s="76"/>
      <c r="Z92" s="76"/>
      <c r="AA92" s="80"/>
      <c r="AB92" s="79"/>
      <c r="AC92" s="76"/>
      <c r="AD92" s="76"/>
      <c r="AE92" s="76"/>
      <c r="AF92" s="76"/>
      <c r="AG92" s="80"/>
      <c r="AH92" s="79"/>
      <c r="AI92" s="76"/>
      <c r="AJ92" s="76"/>
      <c r="AK92" s="76"/>
      <c r="AL92" s="76"/>
      <c r="AM92" s="80"/>
      <c r="AN92" s="79"/>
      <c r="AO92" s="76"/>
      <c r="AP92" s="76"/>
      <c r="AQ92" s="76"/>
      <c r="AR92" s="76"/>
      <c r="AS92" s="80">
        <v>4</v>
      </c>
      <c r="AT92" s="79"/>
      <c r="AU92" s="76"/>
      <c r="AV92" s="76"/>
      <c r="AW92" s="76"/>
      <c r="AX92" s="76"/>
      <c r="AY92" s="80"/>
      <c r="AZ92" s="79"/>
      <c r="BA92" s="76"/>
      <c r="BB92" s="76"/>
      <c r="BC92" s="76"/>
      <c r="BD92" s="76"/>
      <c r="BE92" s="80"/>
      <c r="BF92" s="79"/>
      <c r="BG92" s="76"/>
      <c r="BH92" s="76"/>
      <c r="BI92" s="76"/>
      <c r="BJ92" s="76"/>
      <c r="BK92" s="80"/>
      <c r="BM92" s="125">
        <f t="shared" si="208"/>
        <v>0</v>
      </c>
      <c r="BN92" s="126">
        <f t="shared" si="209"/>
        <v>0</v>
      </c>
      <c r="BO92" s="126">
        <f t="shared" si="210"/>
        <v>0</v>
      </c>
      <c r="BP92" s="126">
        <f t="shared" si="211"/>
        <v>4</v>
      </c>
      <c r="BQ92" s="126">
        <f>SUM(AT92:AY92)</f>
        <v>0</v>
      </c>
      <c r="BR92" s="126">
        <f t="shared" si="212"/>
        <v>0</v>
      </c>
      <c r="BS92" s="127">
        <f t="shared" si="213"/>
        <v>0</v>
      </c>
      <c r="BT92" s="74"/>
      <c r="BU92" s="125">
        <f t="shared" si="214"/>
        <v>0</v>
      </c>
      <c r="BV92" s="126">
        <f t="shared" si="215"/>
        <v>0</v>
      </c>
      <c r="BW92" s="126">
        <f t="shared" si="216"/>
        <v>0</v>
      </c>
      <c r="BX92" s="126">
        <f t="shared" si="217"/>
        <v>8</v>
      </c>
      <c r="BY92" s="126">
        <f t="shared" si="218"/>
        <v>0</v>
      </c>
      <c r="BZ92" s="126">
        <f t="shared" si="218"/>
        <v>0</v>
      </c>
      <c r="CA92" s="126">
        <f t="shared" si="218"/>
        <v>0</v>
      </c>
    </row>
    <row r="93" spans="1:79">
      <c r="A93" s="147" t="str">
        <f t="shared" si="169"/>
        <v>D</v>
      </c>
      <c r="B93" s="148">
        <f t="shared" si="170"/>
        <v>40000</v>
      </c>
      <c r="C93" s="149" t="s">
        <v>102</v>
      </c>
      <c r="D93" s="150" t="s">
        <v>103</v>
      </c>
      <c r="E93" s="150" t="s">
        <v>0</v>
      </c>
      <c r="F93" s="145" t="s">
        <v>70</v>
      </c>
      <c r="G93" s="150" t="s">
        <v>54</v>
      </c>
      <c r="H93" s="150" t="s">
        <v>0</v>
      </c>
      <c r="I93" s="150" t="s">
        <v>0</v>
      </c>
      <c r="J93" s="151" t="s">
        <v>0</v>
      </c>
      <c r="K93" s="13">
        <v>4</v>
      </c>
      <c r="L93" s="12" t="s">
        <v>32</v>
      </c>
      <c r="M93" s="13">
        <v>6</v>
      </c>
      <c r="N93" s="13">
        <v>0</v>
      </c>
      <c r="O93" s="14">
        <v>6</v>
      </c>
      <c r="P93" s="113">
        <f t="shared" si="203"/>
        <v>4</v>
      </c>
      <c r="Q93" s="114">
        <f t="shared" si="204"/>
        <v>0</v>
      </c>
      <c r="R93" s="114">
        <f t="shared" si="205"/>
        <v>6</v>
      </c>
      <c r="S93" s="114">
        <f t="shared" si="206"/>
        <v>0</v>
      </c>
      <c r="T93" s="93">
        <f t="shared" si="207"/>
        <v>1</v>
      </c>
      <c r="U93" t="s">
        <v>0</v>
      </c>
      <c r="V93" s="79"/>
      <c r="W93" s="76"/>
      <c r="X93" s="76"/>
      <c r="Y93" s="76">
        <v>4</v>
      </c>
      <c r="Z93" s="76"/>
      <c r="AA93" s="80"/>
      <c r="AB93" s="79"/>
      <c r="AC93" s="76"/>
      <c r="AD93" s="76"/>
      <c r="AE93" s="76"/>
      <c r="AF93" s="76"/>
      <c r="AG93" s="80"/>
      <c r="AH93" s="79"/>
      <c r="AI93" s="76"/>
      <c r="AJ93" s="76"/>
      <c r="AK93" s="76"/>
      <c r="AL93" s="76"/>
      <c r="AM93" s="80"/>
      <c r="AN93" s="79"/>
      <c r="AO93" s="76"/>
      <c r="AP93" s="76"/>
      <c r="AQ93" s="76"/>
      <c r="AR93" s="76"/>
      <c r="AS93" s="80"/>
      <c r="AT93" s="79"/>
      <c r="AU93" s="76"/>
      <c r="AV93" s="76"/>
      <c r="AW93" s="76"/>
      <c r="AX93" s="76"/>
      <c r="AY93" s="80"/>
      <c r="AZ93" s="79"/>
      <c r="BA93" s="76"/>
      <c r="BB93" s="76"/>
      <c r="BC93" s="76"/>
      <c r="BD93" s="76"/>
      <c r="BE93" s="80"/>
      <c r="BF93" s="79"/>
      <c r="BG93" s="76"/>
      <c r="BH93" s="76"/>
      <c r="BI93" s="76"/>
      <c r="BJ93" s="76"/>
      <c r="BK93" s="80"/>
      <c r="BM93" s="125">
        <f t="shared" si="208"/>
        <v>4</v>
      </c>
      <c r="BN93" s="126">
        <f t="shared" si="209"/>
        <v>0</v>
      </c>
      <c r="BO93" s="126">
        <f t="shared" si="210"/>
        <v>0</v>
      </c>
      <c r="BP93" s="126">
        <f t="shared" si="211"/>
        <v>0</v>
      </c>
      <c r="BQ93" s="126">
        <f>SUM(AT93:AY93)</f>
        <v>0</v>
      </c>
      <c r="BR93" s="126">
        <f t="shared" si="212"/>
        <v>0</v>
      </c>
      <c r="BS93" s="127">
        <f t="shared" si="213"/>
        <v>0</v>
      </c>
      <c r="BT93" s="74"/>
      <c r="BU93" s="125">
        <f t="shared" si="214"/>
        <v>6</v>
      </c>
      <c r="BV93" s="126">
        <f t="shared" si="215"/>
        <v>0</v>
      </c>
      <c r="BW93" s="126">
        <f t="shared" si="216"/>
        <v>0</v>
      </c>
      <c r="BX93" s="126">
        <f t="shared" si="217"/>
        <v>0</v>
      </c>
      <c r="BY93" s="126">
        <f t="shared" si="218"/>
        <v>0</v>
      </c>
      <c r="BZ93" s="126">
        <f t="shared" si="218"/>
        <v>0</v>
      </c>
      <c r="CA93" s="126">
        <f t="shared" si="218"/>
        <v>0</v>
      </c>
    </row>
    <row r="94" spans="1:79">
      <c r="A94" s="147" t="str">
        <f t="shared" si="169"/>
        <v>D</v>
      </c>
      <c r="B94" s="148">
        <f t="shared" si="170"/>
        <v>40000</v>
      </c>
      <c r="C94" s="149" t="s">
        <v>102</v>
      </c>
      <c r="D94" s="150" t="s">
        <v>103</v>
      </c>
      <c r="E94" s="150" t="s">
        <v>0</v>
      </c>
      <c r="F94" s="145" t="s">
        <v>71</v>
      </c>
      <c r="G94" s="150" t="s">
        <v>54</v>
      </c>
      <c r="H94" s="150" t="s">
        <v>0</v>
      </c>
      <c r="I94" s="150" t="s">
        <v>0</v>
      </c>
      <c r="J94" s="151" t="s">
        <v>0</v>
      </c>
      <c r="K94" s="13">
        <v>4</v>
      </c>
      <c r="L94" s="12" t="s">
        <v>32</v>
      </c>
      <c r="M94" s="13">
        <v>4</v>
      </c>
      <c r="N94" s="13">
        <v>0</v>
      </c>
      <c r="O94" s="14">
        <v>4</v>
      </c>
      <c r="P94" s="113">
        <f t="shared" si="203"/>
        <v>4</v>
      </c>
      <c r="Q94" s="114">
        <f t="shared" si="204"/>
        <v>0</v>
      </c>
      <c r="R94" s="114">
        <f t="shared" si="205"/>
        <v>4</v>
      </c>
      <c r="S94" s="114">
        <f t="shared" si="206"/>
        <v>0</v>
      </c>
      <c r="T94" s="93">
        <f t="shared" si="207"/>
        <v>1</v>
      </c>
      <c r="U94" t="s">
        <v>0</v>
      </c>
      <c r="V94" s="79"/>
      <c r="W94" s="76"/>
      <c r="X94" s="76"/>
      <c r="Y94" s="76"/>
      <c r="Z94" s="76"/>
      <c r="AA94" s="80"/>
      <c r="AB94" s="79"/>
      <c r="AC94" s="76"/>
      <c r="AD94" s="76"/>
      <c r="AE94" s="76"/>
      <c r="AF94" s="76">
        <v>4</v>
      </c>
      <c r="AG94" s="80"/>
      <c r="AH94" s="79"/>
      <c r="AI94" s="76"/>
      <c r="AJ94" s="76"/>
      <c r="AK94" s="76"/>
      <c r="AL94" s="76"/>
      <c r="AM94" s="80"/>
      <c r="AN94" s="79"/>
      <c r="AO94" s="76"/>
      <c r="AP94" s="76"/>
      <c r="AQ94" s="76"/>
      <c r="AR94" s="76"/>
      <c r="AS94" s="80"/>
      <c r="AT94" s="79"/>
      <c r="AU94" s="76"/>
      <c r="AV94" s="76"/>
      <c r="AW94" s="76"/>
      <c r="AX94" s="76"/>
      <c r="AY94" s="80"/>
      <c r="AZ94" s="79"/>
      <c r="BA94" s="76"/>
      <c r="BB94" s="76"/>
      <c r="BC94" s="76"/>
      <c r="BD94" s="76"/>
      <c r="BE94" s="80"/>
      <c r="BF94" s="79"/>
      <c r="BG94" s="76"/>
      <c r="BH94" s="76"/>
      <c r="BI94" s="76"/>
      <c r="BJ94" s="76"/>
      <c r="BK94" s="80"/>
      <c r="BM94" s="125">
        <f t="shared" si="208"/>
        <v>0</v>
      </c>
      <c r="BN94" s="126">
        <f t="shared" si="209"/>
        <v>4</v>
      </c>
      <c r="BO94" s="126">
        <f t="shared" si="210"/>
        <v>0</v>
      </c>
      <c r="BP94" s="126">
        <f t="shared" si="211"/>
        <v>0</v>
      </c>
      <c r="BQ94" s="126">
        <f>SUM(AT94:AY94)</f>
        <v>0</v>
      </c>
      <c r="BR94" s="126">
        <f t="shared" si="212"/>
        <v>0</v>
      </c>
      <c r="BS94" s="127">
        <f t="shared" si="213"/>
        <v>0</v>
      </c>
      <c r="BT94" s="74"/>
      <c r="BU94" s="125">
        <f t="shared" si="214"/>
        <v>0</v>
      </c>
      <c r="BV94" s="126">
        <f t="shared" si="215"/>
        <v>4</v>
      </c>
      <c r="BW94" s="126">
        <f t="shared" si="216"/>
        <v>0</v>
      </c>
      <c r="BX94" s="126">
        <f t="shared" si="217"/>
        <v>0</v>
      </c>
      <c r="BY94" s="126">
        <f t="shared" si="218"/>
        <v>0</v>
      </c>
      <c r="BZ94" s="126">
        <f t="shared" si="218"/>
        <v>0</v>
      </c>
      <c r="CA94" s="126">
        <f t="shared" si="218"/>
        <v>0</v>
      </c>
    </row>
    <row r="95" spans="1:79">
      <c r="A95" s="147" t="str">
        <f t="shared" si="169"/>
        <v>D</v>
      </c>
      <c r="B95" s="148">
        <f t="shared" si="170"/>
        <v>40000</v>
      </c>
      <c r="C95" s="149" t="s">
        <v>102</v>
      </c>
      <c r="D95" s="150" t="s">
        <v>103</v>
      </c>
      <c r="E95" s="150" t="s">
        <v>0</v>
      </c>
      <c r="F95" s="145" t="s">
        <v>105</v>
      </c>
      <c r="G95" s="150" t="s">
        <v>54</v>
      </c>
      <c r="H95" s="150" t="s">
        <v>0</v>
      </c>
      <c r="I95" s="150" t="s">
        <v>0</v>
      </c>
      <c r="J95" s="151" t="s">
        <v>0</v>
      </c>
      <c r="K95" s="13">
        <v>2</v>
      </c>
      <c r="L95" s="12" t="s">
        <v>32</v>
      </c>
      <c r="M95" s="13">
        <v>20</v>
      </c>
      <c r="N95" s="13">
        <v>0</v>
      </c>
      <c r="O95" s="14">
        <v>20</v>
      </c>
      <c r="P95" s="113">
        <f t="shared" si="203"/>
        <v>2</v>
      </c>
      <c r="Q95" s="114">
        <f t="shared" si="204"/>
        <v>0</v>
      </c>
      <c r="R95" s="114">
        <f t="shared" si="205"/>
        <v>20</v>
      </c>
      <c r="S95" s="114">
        <f t="shared" si="206"/>
        <v>0</v>
      </c>
      <c r="T95" s="93">
        <f t="shared" si="207"/>
        <v>1</v>
      </c>
      <c r="U95" t="s">
        <v>0</v>
      </c>
      <c r="V95" s="79"/>
      <c r="W95" s="76"/>
      <c r="X95" s="76"/>
      <c r="Y95" s="76"/>
      <c r="Z95" s="76"/>
      <c r="AA95" s="80"/>
      <c r="AB95" s="79"/>
      <c r="AC95" s="76"/>
      <c r="AD95" s="76"/>
      <c r="AE95" s="76"/>
      <c r="AF95" s="76">
        <v>2</v>
      </c>
      <c r="AG95" s="80"/>
      <c r="AH95" s="79"/>
      <c r="AI95" s="76"/>
      <c r="AJ95" s="76"/>
      <c r="AK95" s="76"/>
      <c r="AL95" s="76"/>
      <c r="AM95" s="80"/>
      <c r="AN95" s="79"/>
      <c r="AO95" s="76"/>
      <c r="AP95" s="76"/>
      <c r="AQ95" s="76"/>
      <c r="AR95" s="76"/>
      <c r="AS95" s="80"/>
      <c r="AT95" s="79"/>
      <c r="AU95" s="76"/>
      <c r="AV95" s="76"/>
      <c r="AW95" s="76"/>
      <c r="AX95" s="76"/>
      <c r="AY95" s="80"/>
      <c r="AZ95" s="79"/>
      <c r="BA95" s="76"/>
      <c r="BB95" s="76"/>
      <c r="BC95" s="76"/>
      <c r="BD95" s="76"/>
      <c r="BE95" s="80"/>
      <c r="BF95" s="79"/>
      <c r="BG95" s="76"/>
      <c r="BH95" s="76"/>
      <c r="BI95" s="76"/>
      <c r="BJ95" s="76"/>
      <c r="BK95" s="80"/>
      <c r="BM95" s="125">
        <f t="shared" si="208"/>
        <v>0</v>
      </c>
      <c r="BN95" s="126">
        <f t="shared" si="209"/>
        <v>2</v>
      </c>
      <c r="BO95" s="126">
        <f t="shared" si="210"/>
        <v>0</v>
      </c>
      <c r="BP95" s="126">
        <f t="shared" si="211"/>
        <v>0</v>
      </c>
      <c r="BQ95" s="126">
        <f>SUM(AT95:AY95)</f>
        <v>0</v>
      </c>
      <c r="BR95" s="126">
        <f t="shared" si="212"/>
        <v>0</v>
      </c>
      <c r="BS95" s="127">
        <f t="shared" si="213"/>
        <v>0</v>
      </c>
      <c r="BT95" s="74"/>
      <c r="BU95" s="125">
        <f t="shared" si="214"/>
        <v>0</v>
      </c>
      <c r="BV95" s="126">
        <f t="shared" si="215"/>
        <v>20</v>
      </c>
      <c r="BW95" s="126">
        <f t="shared" si="216"/>
        <v>0</v>
      </c>
      <c r="BX95" s="126">
        <f t="shared" si="217"/>
        <v>0</v>
      </c>
      <c r="BY95" s="126">
        <f t="shared" si="218"/>
        <v>0</v>
      </c>
      <c r="BZ95" s="126">
        <f t="shared" si="218"/>
        <v>0</v>
      </c>
      <c r="CA95" s="126">
        <f t="shared" si="218"/>
        <v>0</v>
      </c>
    </row>
    <row r="96" spans="1:79">
      <c r="A96" s="147" t="str">
        <f t="shared" si="169"/>
        <v>D</v>
      </c>
      <c r="B96" s="148">
        <f t="shared" si="170"/>
        <v>40000</v>
      </c>
      <c r="C96" s="149" t="s">
        <v>102</v>
      </c>
      <c r="D96" s="150" t="s">
        <v>103</v>
      </c>
      <c r="E96" s="150" t="s">
        <v>0</v>
      </c>
      <c r="F96" s="145" t="s">
        <v>72</v>
      </c>
      <c r="G96" s="150" t="s">
        <v>54</v>
      </c>
      <c r="H96" s="150" t="s">
        <v>0</v>
      </c>
      <c r="I96" s="150" t="s">
        <v>0</v>
      </c>
      <c r="J96" s="151" t="s">
        <v>0</v>
      </c>
      <c r="K96" s="13">
        <v>0.25</v>
      </c>
      <c r="L96" s="12" t="s">
        <v>67</v>
      </c>
      <c r="M96" s="13">
        <v>0.19</v>
      </c>
      <c r="N96" s="13">
        <v>0</v>
      </c>
      <c r="O96" s="14">
        <v>0.19</v>
      </c>
      <c r="P96" s="113">
        <f t="shared" si="203"/>
        <v>0</v>
      </c>
      <c r="Q96" s="114">
        <f t="shared" si="204"/>
        <v>0.25</v>
      </c>
      <c r="R96" s="114">
        <f t="shared" si="205"/>
        <v>0</v>
      </c>
      <c r="S96" s="114">
        <f t="shared" si="206"/>
        <v>0.19</v>
      </c>
      <c r="T96" s="93">
        <f t="shared" si="207"/>
        <v>0</v>
      </c>
      <c r="U96" t="s">
        <v>0</v>
      </c>
      <c r="V96" s="79"/>
      <c r="W96" s="76"/>
      <c r="X96" s="76"/>
      <c r="Y96" s="76"/>
      <c r="Z96" s="76"/>
      <c r="AA96" s="80"/>
      <c r="AB96" s="79"/>
      <c r="AC96" s="76"/>
      <c r="AD96" s="76"/>
      <c r="AE96" s="76"/>
      <c r="AF96" s="76"/>
      <c r="AG96" s="80"/>
      <c r="AH96" s="79"/>
      <c r="AI96" s="76"/>
      <c r="AJ96" s="76"/>
      <c r="AK96" s="76"/>
      <c r="AL96" s="76"/>
      <c r="AM96" s="80"/>
      <c r="AN96" s="79"/>
      <c r="AO96" s="76"/>
      <c r="AP96" s="76"/>
      <c r="AQ96" s="76"/>
      <c r="AR96" s="76"/>
      <c r="AS96" s="80"/>
      <c r="AT96" s="79"/>
      <c r="AU96" s="76"/>
      <c r="AV96" s="76"/>
      <c r="AW96" s="76"/>
      <c r="AX96" s="76"/>
      <c r="AY96" s="80"/>
      <c r="AZ96" s="79"/>
      <c r="BA96" s="76"/>
      <c r="BB96" s="76"/>
      <c r="BC96" s="76"/>
      <c r="BD96" s="76"/>
      <c r="BE96" s="80"/>
      <c r="BF96" s="79"/>
      <c r="BG96" s="76"/>
      <c r="BH96" s="76"/>
      <c r="BI96" s="76"/>
      <c r="BJ96" s="76"/>
      <c r="BK96" s="80"/>
      <c r="BM96" s="125">
        <f t="shared" si="208"/>
        <v>0</v>
      </c>
      <c r="BN96" s="126">
        <f t="shared" si="209"/>
        <v>0</v>
      </c>
      <c r="BO96" s="126">
        <f t="shared" si="210"/>
        <v>0</v>
      </c>
      <c r="BP96" s="126">
        <f t="shared" si="211"/>
        <v>0</v>
      </c>
      <c r="BQ96" s="126">
        <f>SUM(AT96:AY96)</f>
        <v>0</v>
      </c>
      <c r="BR96" s="126">
        <f t="shared" si="212"/>
        <v>0</v>
      </c>
      <c r="BS96" s="127">
        <f t="shared" si="213"/>
        <v>0</v>
      </c>
      <c r="BT96" s="74"/>
      <c r="BU96" s="125">
        <f t="shared" si="214"/>
        <v>0</v>
      </c>
      <c r="BV96" s="126">
        <f t="shared" si="215"/>
        <v>0</v>
      </c>
      <c r="BW96" s="126">
        <f t="shared" si="216"/>
        <v>0</v>
      </c>
      <c r="BX96" s="126">
        <f t="shared" si="217"/>
        <v>0</v>
      </c>
      <c r="BY96" s="126">
        <f t="shared" si="218"/>
        <v>0</v>
      </c>
      <c r="BZ96" s="126">
        <f t="shared" si="218"/>
        <v>0</v>
      </c>
      <c r="CA96" s="126">
        <f t="shared" si="218"/>
        <v>0</v>
      </c>
    </row>
    <row r="97" spans="1:79" ht="15.75">
      <c r="A97" s="152" t="str">
        <f t="shared" si="169"/>
        <v>P</v>
      </c>
      <c r="B97" s="153">
        <f t="shared" si="170"/>
        <v>40000</v>
      </c>
      <c r="C97" s="154" t="s">
        <v>106</v>
      </c>
      <c r="D97" s="155" t="s">
        <v>107</v>
      </c>
      <c r="E97" s="155" t="s">
        <v>0</v>
      </c>
      <c r="F97" s="156" t="s">
        <v>108</v>
      </c>
      <c r="G97" s="155" t="s">
        <v>0</v>
      </c>
      <c r="H97" s="155" t="s">
        <v>0</v>
      </c>
      <c r="I97" s="155" t="s">
        <v>0</v>
      </c>
      <c r="J97" s="157" t="s">
        <v>0</v>
      </c>
      <c r="K97" s="9">
        <v>1.5</v>
      </c>
      <c r="L97" s="8" t="s">
        <v>67</v>
      </c>
      <c r="M97" s="9">
        <v>10.129999999999999</v>
      </c>
      <c r="N97" s="9">
        <v>0</v>
      </c>
      <c r="O97" s="10">
        <v>10.129999999999999</v>
      </c>
      <c r="P97" s="111"/>
      <c r="Q97" s="112"/>
      <c r="R97" s="112">
        <f>SUMIFS(R98:R$415,$C98:$C$415,$C97)</f>
        <v>10.129999999999999</v>
      </c>
      <c r="S97" s="112">
        <f>SUMIFS(S98:S$415,$C98:$C$415,$C97)</f>
        <v>0</v>
      </c>
      <c r="T97" s="92">
        <f>R97/O97</f>
        <v>1</v>
      </c>
      <c r="V97" s="77"/>
      <c r="W97" s="75"/>
      <c r="X97" s="75"/>
      <c r="Y97" s="75"/>
      <c r="Z97" s="75"/>
      <c r="AA97" s="78"/>
      <c r="AB97" s="77"/>
      <c r="AC97" s="75"/>
      <c r="AD97" s="75"/>
      <c r="AE97" s="75"/>
      <c r="AF97" s="75"/>
      <c r="AG97" s="78"/>
      <c r="AH97" s="77"/>
      <c r="AI97" s="75"/>
      <c r="AJ97" s="75"/>
      <c r="AK97" s="75"/>
      <c r="AL97" s="75"/>
      <c r="AM97" s="78"/>
      <c r="AN97" s="77"/>
      <c r="AO97" s="75"/>
      <c r="AP97" s="75"/>
      <c r="AQ97" s="75"/>
      <c r="AR97" s="75"/>
      <c r="AS97" s="78"/>
      <c r="AT97" s="77"/>
      <c r="AU97" s="75"/>
      <c r="AV97" s="75"/>
      <c r="AW97" s="75"/>
      <c r="AX97" s="75"/>
      <c r="AY97" s="78"/>
      <c r="AZ97" s="77"/>
      <c r="BA97" s="75"/>
      <c r="BB97" s="75"/>
      <c r="BC97" s="75"/>
      <c r="BD97" s="75"/>
      <c r="BE97" s="78"/>
      <c r="BF97" s="77"/>
      <c r="BG97" s="75"/>
      <c r="BH97" s="75"/>
      <c r="BI97" s="75"/>
      <c r="BJ97" s="75"/>
      <c r="BK97" s="78"/>
      <c r="BM97" s="122"/>
      <c r="BN97" s="123"/>
      <c r="BO97" s="123"/>
      <c r="BP97" s="123"/>
      <c r="BQ97" s="123"/>
      <c r="BR97" s="123"/>
      <c r="BS97" s="124"/>
      <c r="BT97" s="74"/>
      <c r="BU97" s="122"/>
      <c r="BV97" s="123"/>
      <c r="BW97" s="123"/>
      <c r="BX97" s="123"/>
      <c r="BY97" s="123"/>
      <c r="BZ97" s="123"/>
      <c r="CA97" s="123"/>
    </row>
    <row r="98" spans="1:79">
      <c r="A98" s="147" t="str">
        <f t="shared" si="169"/>
        <v>D</v>
      </c>
      <c r="B98" s="148">
        <f t="shared" si="170"/>
        <v>40000</v>
      </c>
      <c r="C98" s="149" t="s">
        <v>106</v>
      </c>
      <c r="D98" s="150" t="s">
        <v>107</v>
      </c>
      <c r="E98" s="150" t="s">
        <v>0</v>
      </c>
      <c r="F98" s="145" t="s">
        <v>68</v>
      </c>
      <c r="G98" s="150" t="s">
        <v>0</v>
      </c>
      <c r="H98" s="150" t="s">
        <v>0</v>
      </c>
      <c r="I98" s="150" t="s">
        <v>0</v>
      </c>
      <c r="J98" s="151" t="s">
        <v>0</v>
      </c>
      <c r="K98" s="13">
        <v>1</v>
      </c>
      <c r="L98" s="12" t="s">
        <v>32</v>
      </c>
      <c r="M98" s="13">
        <v>4</v>
      </c>
      <c r="N98" s="13">
        <v>0</v>
      </c>
      <c r="O98" s="14">
        <v>4</v>
      </c>
      <c r="P98" s="113">
        <f t="shared" ref="P98:P101" si="219">SUM(BM98:BS98)</f>
        <v>1</v>
      </c>
      <c r="Q98" s="114">
        <f t="shared" ref="Q98:Q101" si="220">K98-P98</f>
        <v>0</v>
      </c>
      <c r="R98" s="114">
        <f t="shared" ref="R98:R101" si="221">SUM(BU98:CA98)</f>
        <v>4</v>
      </c>
      <c r="S98" s="114">
        <f t="shared" ref="S98:S101" si="222">O98-R98</f>
        <v>0</v>
      </c>
      <c r="T98" s="93">
        <f t="shared" ref="T98:T101" si="223">R98/O98</f>
        <v>1</v>
      </c>
      <c r="U98" t="s">
        <v>0</v>
      </c>
      <c r="V98" s="79"/>
      <c r="W98" s="76"/>
      <c r="X98" s="76"/>
      <c r="Y98" s="76">
        <v>1</v>
      </c>
      <c r="Z98" s="76"/>
      <c r="AA98" s="80"/>
      <c r="AB98" s="79"/>
      <c r="AC98" s="76"/>
      <c r="AD98" s="76"/>
      <c r="AE98" s="76"/>
      <c r="AF98" s="76"/>
      <c r="AG98" s="80"/>
      <c r="AH98" s="79"/>
      <c r="AI98" s="76"/>
      <c r="AJ98" s="76"/>
      <c r="AK98" s="76"/>
      <c r="AL98" s="76"/>
      <c r="AM98" s="80"/>
      <c r="AN98" s="79"/>
      <c r="AO98" s="76"/>
      <c r="AP98" s="76"/>
      <c r="AQ98" s="76"/>
      <c r="AR98" s="76"/>
      <c r="AS98" s="80"/>
      <c r="AT98" s="79"/>
      <c r="AU98" s="76"/>
      <c r="AV98" s="76"/>
      <c r="AW98" s="76"/>
      <c r="AX98" s="76"/>
      <c r="AY98" s="80"/>
      <c r="AZ98" s="79"/>
      <c r="BA98" s="76"/>
      <c r="BB98" s="76"/>
      <c r="BC98" s="76"/>
      <c r="BD98" s="76"/>
      <c r="BE98" s="80"/>
      <c r="BF98" s="79"/>
      <c r="BG98" s="76"/>
      <c r="BH98" s="76"/>
      <c r="BI98" s="76"/>
      <c r="BJ98" s="76"/>
      <c r="BK98" s="80"/>
      <c r="BM98" s="125">
        <f t="shared" ref="BM98:BM101" si="224">SUM(V98:AA98)</f>
        <v>1</v>
      </c>
      <c r="BN98" s="126">
        <f t="shared" ref="BN98:BN101" si="225">SUM(AB98:AG98)</f>
        <v>0</v>
      </c>
      <c r="BO98" s="126">
        <f t="shared" ref="BO98:BO101" si="226">SUM(AH98:AM98)</f>
        <v>0</v>
      </c>
      <c r="BP98" s="126">
        <f t="shared" ref="BP98:BP101" si="227">SUM(AN98:AS98)</f>
        <v>0</v>
      </c>
      <c r="BQ98" s="126">
        <f>SUM(AT98:AY98)</f>
        <v>0</v>
      </c>
      <c r="BR98" s="126">
        <f t="shared" ref="BR98:BS101" si="228">SUM(AZ98:BE98)</f>
        <v>0</v>
      </c>
      <c r="BS98" s="127">
        <f t="shared" ref="BS98:BS101" si="229">SUM(BF98:BK98)</f>
        <v>0</v>
      </c>
      <c r="BT98" s="74"/>
      <c r="BU98" s="125">
        <f t="shared" ref="BU98:BU101" si="230">(BM98/$K98)*$O98</f>
        <v>4</v>
      </c>
      <c r="BV98" s="126">
        <f t="shared" ref="BV98:BV101" si="231">(BN98/$K98)*$O98</f>
        <v>0</v>
      </c>
      <c r="BW98" s="126">
        <f t="shared" ref="BW98:BW101" si="232">(BO98/$K98)*$O98</f>
        <v>0</v>
      </c>
      <c r="BX98" s="126">
        <f t="shared" ref="BX98:BX101" si="233">(BP98/$K98)*$O98</f>
        <v>0</v>
      </c>
      <c r="BY98" s="126">
        <f t="shared" ref="BY98:CA101" si="234">(BQ98/$K98)*$O98</f>
        <v>0</v>
      </c>
      <c r="BZ98" s="126">
        <f t="shared" si="234"/>
        <v>0</v>
      </c>
      <c r="CA98" s="126">
        <f t="shared" si="234"/>
        <v>0</v>
      </c>
    </row>
    <row r="99" spans="1:79">
      <c r="A99" s="147" t="str">
        <f t="shared" si="169"/>
        <v>D</v>
      </c>
      <c r="B99" s="148">
        <f t="shared" si="170"/>
        <v>40000</v>
      </c>
      <c r="C99" s="149" t="s">
        <v>106</v>
      </c>
      <c r="D99" s="150" t="s">
        <v>107</v>
      </c>
      <c r="E99" s="150" t="s">
        <v>0</v>
      </c>
      <c r="F99" s="145" t="s">
        <v>70</v>
      </c>
      <c r="G99" s="150" t="s">
        <v>0</v>
      </c>
      <c r="H99" s="150" t="s">
        <v>0</v>
      </c>
      <c r="I99" s="150" t="s">
        <v>0</v>
      </c>
      <c r="J99" s="151" t="s">
        <v>0</v>
      </c>
      <c r="K99" s="13">
        <v>2</v>
      </c>
      <c r="L99" s="12" t="s">
        <v>32</v>
      </c>
      <c r="M99" s="13">
        <v>3</v>
      </c>
      <c r="N99" s="13">
        <v>0</v>
      </c>
      <c r="O99" s="14">
        <v>3</v>
      </c>
      <c r="P99" s="113">
        <f t="shared" si="219"/>
        <v>2</v>
      </c>
      <c r="Q99" s="114">
        <f t="shared" si="220"/>
        <v>0</v>
      </c>
      <c r="R99" s="114">
        <f t="shared" si="221"/>
        <v>3</v>
      </c>
      <c r="S99" s="114">
        <f t="shared" si="222"/>
        <v>0</v>
      </c>
      <c r="T99" s="93">
        <f t="shared" si="223"/>
        <v>1</v>
      </c>
      <c r="U99" t="s">
        <v>0</v>
      </c>
      <c r="V99" s="79"/>
      <c r="W99" s="76"/>
      <c r="X99" s="76"/>
      <c r="Y99" s="76">
        <v>2</v>
      </c>
      <c r="Z99" s="76"/>
      <c r="AA99" s="80"/>
      <c r="AB99" s="79"/>
      <c r="AC99" s="76"/>
      <c r="AD99" s="76"/>
      <c r="AE99" s="76"/>
      <c r="AF99" s="76"/>
      <c r="AG99" s="80"/>
      <c r="AH99" s="79"/>
      <c r="AI99" s="76"/>
      <c r="AJ99" s="76"/>
      <c r="AK99" s="76"/>
      <c r="AL99" s="76"/>
      <c r="AM99" s="80"/>
      <c r="AN99" s="79"/>
      <c r="AO99" s="76"/>
      <c r="AP99" s="76"/>
      <c r="AQ99" s="76"/>
      <c r="AR99" s="76"/>
      <c r="AS99" s="80"/>
      <c r="AT99" s="79"/>
      <c r="AU99" s="76"/>
      <c r="AV99" s="76"/>
      <c r="AW99" s="76"/>
      <c r="AX99" s="76"/>
      <c r="AY99" s="80"/>
      <c r="AZ99" s="79"/>
      <c r="BA99" s="76"/>
      <c r="BB99" s="76"/>
      <c r="BC99" s="76"/>
      <c r="BD99" s="76"/>
      <c r="BE99" s="80"/>
      <c r="BF99" s="79"/>
      <c r="BG99" s="76"/>
      <c r="BH99" s="76"/>
      <c r="BI99" s="76"/>
      <c r="BJ99" s="76"/>
      <c r="BK99" s="80"/>
      <c r="BM99" s="125">
        <f t="shared" si="224"/>
        <v>2</v>
      </c>
      <c r="BN99" s="126">
        <f t="shared" si="225"/>
        <v>0</v>
      </c>
      <c r="BO99" s="126">
        <f t="shared" si="226"/>
        <v>0</v>
      </c>
      <c r="BP99" s="126">
        <f t="shared" si="227"/>
        <v>0</v>
      </c>
      <c r="BQ99" s="126">
        <f>SUM(AT99:AY99)</f>
        <v>0</v>
      </c>
      <c r="BR99" s="126">
        <f t="shared" si="228"/>
        <v>0</v>
      </c>
      <c r="BS99" s="127">
        <f t="shared" si="229"/>
        <v>0</v>
      </c>
      <c r="BT99" s="74"/>
      <c r="BU99" s="125">
        <f t="shared" si="230"/>
        <v>3</v>
      </c>
      <c r="BV99" s="126">
        <f t="shared" si="231"/>
        <v>0</v>
      </c>
      <c r="BW99" s="126">
        <f t="shared" si="232"/>
        <v>0</v>
      </c>
      <c r="BX99" s="126">
        <f t="shared" si="233"/>
        <v>0</v>
      </c>
      <c r="BY99" s="126">
        <f t="shared" si="234"/>
        <v>0</v>
      </c>
      <c r="BZ99" s="126">
        <f t="shared" si="234"/>
        <v>0</v>
      </c>
      <c r="CA99" s="126">
        <f t="shared" si="234"/>
        <v>0</v>
      </c>
    </row>
    <row r="100" spans="1:79">
      <c r="A100" s="147" t="str">
        <f t="shared" si="169"/>
        <v>D</v>
      </c>
      <c r="B100" s="148">
        <f t="shared" si="170"/>
        <v>40000</v>
      </c>
      <c r="C100" s="149" t="s">
        <v>106</v>
      </c>
      <c r="D100" s="150" t="s">
        <v>107</v>
      </c>
      <c r="E100" s="150" t="s">
        <v>0</v>
      </c>
      <c r="F100" s="145" t="s">
        <v>71</v>
      </c>
      <c r="G100" s="150" t="s">
        <v>0</v>
      </c>
      <c r="H100" s="150" t="s">
        <v>0</v>
      </c>
      <c r="I100" s="150" t="s">
        <v>0</v>
      </c>
      <c r="J100" s="151" t="s">
        <v>0</v>
      </c>
      <c r="K100" s="13">
        <v>2</v>
      </c>
      <c r="L100" s="12" t="s">
        <v>32</v>
      </c>
      <c r="M100" s="13">
        <v>2</v>
      </c>
      <c r="N100" s="13">
        <v>0</v>
      </c>
      <c r="O100" s="14">
        <v>2</v>
      </c>
      <c r="P100" s="113">
        <f t="shared" si="219"/>
        <v>2</v>
      </c>
      <c r="Q100" s="114">
        <f t="shared" si="220"/>
        <v>0</v>
      </c>
      <c r="R100" s="114">
        <f t="shared" si="221"/>
        <v>2</v>
      </c>
      <c r="S100" s="114">
        <f t="shared" si="222"/>
        <v>0</v>
      </c>
      <c r="T100" s="93">
        <f t="shared" si="223"/>
        <v>1</v>
      </c>
      <c r="U100" t="s">
        <v>0</v>
      </c>
      <c r="V100" s="79"/>
      <c r="W100" s="76"/>
      <c r="X100" s="76"/>
      <c r="Y100" s="76"/>
      <c r="Z100" s="76"/>
      <c r="AA100" s="80"/>
      <c r="AB100" s="79"/>
      <c r="AC100" s="76"/>
      <c r="AD100" s="76"/>
      <c r="AE100" s="76"/>
      <c r="AF100" s="76">
        <v>2</v>
      </c>
      <c r="AG100" s="80"/>
      <c r="AH100" s="79"/>
      <c r="AI100" s="76"/>
      <c r="AJ100" s="76"/>
      <c r="AK100" s="76"/>
      <c r="AL100" s="76"/>
      <c r="AM100" s="80"/>
      <c r="AN100" s="79"/>
      <c r="AO100" s="76"/>
      <c r="AP100" s="76"/>
      <c r="AQ100" s="76"/>
      <c r="AR100" s="76"/>
      <c r="AS100" s="80"/>
      <c r="AT100" s="79"/>
      <c r="AU100" s="76"/>
      <c r="AV100" s="76"/>
      <c r="AW100" s="76"/>
      <c r="AX100" s="76"/>
      <c r="AY100" s="80"/>
      <c r="AZ100" s="79"/>
      <c r="BA100" s="76"/>
      <c r="BB100" s="76"/>
      <c r="BC100" s="76"/>
      <c r="BD100" s="76"/>
      <c r="BE100" s="80"/>
      <c r="BF100" s="79"/>
      <c r="BG100" s="76"/>
      <c r="BH100" s="76"/>
      <c r="BI100" s="76"/>
      <c r="BJ100" s="76"/>
      <c r="BK100" s="80"/>
      <c r="BM100" s="125">
        <f t="shared" si="224"/>
        <v>0</v>
      </c>
      <c r="BN100" s="126">
        <f t="shared" si="225"/>
        <v>2</v>
      </c>
      <c r="BO100" s="126">
        <f t="shared" si="226"/>
        <v>0</v>
      </c>
      <c r="BP100" s="126">
        <f t="shared" si="227"/>
        <v>0</v>
      </c>
      <c r="BQ100" s="126">
        <f>SUM(AT100:AY100)</f>
        <v>0</v>
      </c>
      <c r="BR100" s="126">
        <f t="shared" si="228"/>
        <v>0</v>
      </c>
      <c r="BS100" s="127">
        <f t="shared" si="229"/>
        <v>0</v>
      </c>
      <c r="BT100" s="74"/>
      <c r="BU100" s="125">
        <f t="shared" si="230"/>
        <v>0</v>
      </c>
      <c r="BV100" s="126">
        <f t="shared" si="231"/>
        <v>2</v>
      </c>
      <c r="BW100" s="126">
        <f t="shared" si="232"/>
        <v>0</v>
      </c>
      <c r="BX100" s="126">
        <f t="shared" si="233"/>
        <v>0</v>
      </c>
      <c r="BY100" s="126">
        <f t="shared" si="234"/>
        <v>0</v>
      </c>
      <c r="BZ100" s="126">
        <f t="shared" si="234"/>
        <v>0</v>
      </c>
      <c r="CA100" s="126">
        <f t="shared" si="234"/>
        <v>0</v>
      </c>
    </row>
    <row r="101" spans="1:79">
      <c r="A101" s="147" t="str">
        <f t="shared" si="169"/>
        <v>D</v>
      </c>
      <c r="B101" s="148">
        <f t="shared" si="170"/>
        <v>40000</v>
      </c>
      <c r="C101" s="149" t="s">
        <v>106</v>
      </c>
      <c r="D101" s="150" t="s">
        <v>107</v>
      </c>
      <c r="E101" s="150" t="s">
        <v>0</v>
      </c>
      <c r="F101" s="145" t="s">
        <v>72</v>
      </c>
      <c r="G101" s="150" t="s">
        <v>0</v>
      </c>
      <c r="H101" s="150" t="s">
        <v>0</v>
      </c>
      <c r="I101" s="150" t="s">
        <v>0</v>
      </c>
      <c r="J101" s="151" t="s">
        <v>0</v>
      </c>
      <c r="K101" s="13">
        <v>1.5</v>
      </c>
      <c r="L101" s="12" t="s">
        <v>67</v>
      </c>
      <c r="M101" s="13">
        <v>1.1299999999999999</v>
      </c>
      <c r="N101" s="13">
        <v>0</v>
      </c>
      <c r="O101" s="14">
        <v>1.1299999999999999</v>
      </c>
      <c r="P101" s="113">
        <f t="shared" si="219"/>
        <v>1.5</v>
      </c>
      <c r="Q101" s="114">
        <f t="shared" si="220"/>
        <v>0</v>
      </c>
      <c r="R101" s="114">
        <f t="shared" si="221"/>
        <v>1.1299999999999999</v>
      </c>
      <c r="S101" s="114">
        <f t="shared" si="222"/>
        <v>0</v>
      </c>
      <c r="T101" s="93">
        <f t="shared" si="223"/>
        <v>1</v>
      </c>
      <c r="U101" t="s">
        <v>0</v>
      </c>
      <c r="V101" s="79"/>
      <c r="W101" s="76"/>
      <c r="X101" s="76"/>
      <c r="Y101" s="76"/>
      <c r="Z101" s="76"/>
      <c r="AA101" s="80"/>
      <c r="AB101" s="79"/>
      <c r="AC101" s="76"/>
      <c r="AD101" s="76"/>
      <c r="AE101" s="76"/>
      <c r="AF101" s="76">
        <v>1.5</v>
      </c>
      <c r="AG101" s="80"/>
      <c r="AH101" s="79"/>
      <c r="AI101" s="76"/>
      <c r="AJ101" s="76"/>
      <c r="AK101" s="76"/>
      <c r="AL101" s="76"/>
      <c r="AM101" s="80"/>
      <c r="AN101" s="79"/>
      <c r="AO101" s="76"/>
      <c r="AP101" s="76"/>
      <c r="AQ101" s="76"/>
      <c r="AR101" s="76"/>
      <c r="AS101" s="80"/>
      <c r="AT101" s="79"/>
      <c r="AU101" s="76"/>
      <c r="AV101" s="76"/>
      <c r="AW101" s="76"/>
      <c r="AX101" s="76"/>
      <c r="AY101" s="80"/>
      <c r="AZ101" s="79"/>
      <c r="BA101" s="76"/>
      <c r="BB101" s="76"/>
      <c r="BC101" s="76"/>
      <c r="BD101" s="76"/>
      <c r="BE101" s="80"/>
      <c r="BF101" s="79"/>
      <c r="BG101" s="76"/>
      <c r="BH101" s="76"/>
      <c r="BI101" s="76"/>
      <c r="BJ101" s="76"/>
      <c r="BK101" s="80"/>
      <c r="BM101" s="125">
        <f t="shared" si="224"/>
        <v>0</v>
      </c>
      <c r="BN101" s="126">
        <f t="shared" si="225"/>
        <v>1.5</v>
      </c>
      <c r="BO101" s="126">
        <f t="shared" si="226"/>
        <v>0</v>
      </c>
      <c r="BP101" s="126">
        <f t="shared" si="227"/>
        <v>0</v>
      </c>
      <c r="BQ101" s="126">
        <f>SUM(AT101:AY101)</f>
        <v>0</v>
      </c>
      <c r="BR101" s="126">
        <f t="shared" si="228"/>
        <v>0</v>
      </c>
      <c r="BS101" s="127">
        <f t="shared" si="229"/>
        <v>0</v>
      </c>
      <c r="BT101" s="74"/>
      <c r="BU101" s="125">
        <f t="shared" si="230"/>
        <v>0</v>
      </c>
      <c r="BV101" s="126">
        <f t="shared" si="231"/>
        <v>1.1299999999999999</v>
      </c>
      <c r="BW101" s="126">
        <f t="shared" si="232"/>
        <v>0</v>
      </c>
      <c r="BX101" s="126">
        <f t="shared" si="233"/>
        <v>0</v>
      </c>
      <c r="BY101" s="126">
        <f t="shared" si="234"/>
        <v>0</v>
      </c>
      <c r="BZ101" s="126">
        <f t="shared" si="234"/>
        <v>0</v>
      </c>
      <c r="CA101" s="126">
        <f t="shared" si="234"/>
        <v>0</v>
      </c>
    </row>
    <row r="102" spans="1:79" ht="15.75">
      <c r="A102" s="152" t="str">
        <f t="shared" si="169"/>
        <v>P</v>
      </c>
      <c r="B102" s="153">
        <f t="shared" si="170"/>
        <v>40000</v>
      </c>
      <c r="C102" s="154" t="s">
        <v>109</v>
      </c>
      <c r="D102" s="155" t="s">
        <v>110</v>
      </c>
      <c r="E102" s="155" t="s">
        <v>0</v>
      </c>
      <c r="F102" s="156" t="s">
        <v>51</v>
      </c>
      <c r="G102" s="155" t="s">
        <v>0</v>
      </c>
      <c r="H102" s="155" t="s">
        <v>0</v>
      </c>
      <c r="I102" s="155" t="s">
        <v>0</v>
      </c>
      <c r="J102" s="157" t="s">
        <v>0</v>
      </c>
      <c r="K102" s="9">
        <v>2.5</v>
      </c>
      <c r="L102" s="8" t="s">
        <v>67</v>
      </c>
      <c r="M102" s="9">
        <v>31.88</v>
      </c>
      <c r="N102" s="9">
        <v>0</v>
      </c>
      <c r="O102" s="10">
        <v>31.88</v>
      </c>
      <c r="P102" s="111"/>
      <c r="Q102" s="112"/>
      <c r="R102" s="112">
        <f>SUMIFS(R103:R$415,$C103:$C$415,$C102)</f>
        <v>31.88</v>
      </c>
      <c r="S102" s="112">
        <f>SUMIFS(S103:S$415,$C103:$C$415,$C102)</f>
        <v>0</v>
      </c>
      <c r="T102" s="92">
        <f>R102/O102</f>
        <v>1</v>
      </c>
      <c r="V102" s="77"/>
      <c r="W102" s="75"/>
      <c r="X102" s="75"/>
      <c r="Y102" s="75"/>
      <c r="Z102" s="75"/>
      <c r="AA102" s="78"/>
      <c r="AB102" s="77"/>
      <c r="AC102" s="75"/>
      <c r="AD102" s="75"/>
      <c r="AE102" s="75"/>
      <c r="AF102" s="75"/>
      <c r="AG102" s="78"/>
      <c r="AH102" s="77"/>
      <c r="AI102" s="75"/>
      <c r="AJ102" s="75"/>
      <c r="AK102" s="75"/>
      <c r="AL102" s="75"/>
      <c r="AM102" s="78"/>
      <c r="AN102" s="77"/>
      <c r="AO102" s="75"/>
      <c r="AP102" s="75"/>
      <c r="AQ102" s="75"/>
      <c r="AR102" s="75"/>
      <c r="AS102" s="78"/>
      <c r="AT102" s="77"/>
      <c r="AU102" s="75"/>
      <c r="AV102" s="75"/>
      <c r="AW102" s="75"/>
      <c r="AX102" s="75"/>
      <c r="AY102" s="78"/>
      <c r="AZ102" s="77"/>
      <c r="BA102" s="75"/>
      <c r="BB102" s="75"/>
      <c r="BC102" s="75"/>
      <c r="BD102" s="75"/>
      <c r="BE102" s="78"/>
      <c r="BF102" s="77"/>
      <c r="BG102" s="75"/>
      <c r="BH102" s="75"/>
      <c r="BI102" s="75"/>
      <c r="BJ102" s="75"/>
      <c r="BK102" s="78"/>
      <c r="BM102" s="122"/>
      <c r="BN102" s="123"/>
      <c r="BO102" s="123"/>
      <c r="BP102" s="123"/>
      <c r="BQ102" s="123"/>
      <c r="BR102" s="123"/>
      <c r="BS102" s="124"/>
      <c r="BT102" s="74"/>
      <c r="BU102" s="122"/>
      <c r="BV102" s="123"/>
      <c r="BW102" s="123"/>
      <c r="BX102" s="123"/>
      <c r="BY102" s="123"/>
      <c r="BZ102" s="123"/>
      <c r="CA102" s="123"/>
    </row>
    <row r="103" spans="1:79">
      <c r="A103" s="147" t="str">
        <f t="shared" si="169"/>
        <v>D</v>
      </c>
      <c r="B103" s="148">
        <f t="shared" si="170"/>
        <v>40000</v>
      </c>
      <c r="C103" s="149" t="s">
        <v>109</v>
      </c>
      <c r="D103" s="150" t="s">
        <v>110</v>
      </c>
      <c r="E103" s="150" t="s">
        <v>0</v>
      </c>
      <c r="F103" s="145" t="s">
        <v>68</v>
      </c>
      <c r="G103" s="150" t="s">
        <v>0</v>
      </c>
      <c r="H103" s="150" t="s">
        <v>0</v>
      </c>
      <c r="I103" s="150" t="s">
        <v>0</v>
      </c>
      <c r="J103" s="151" t="s">
        <v>0</v>
      </c>
      <c r="K103" s="13">
        <v>1</v>
      </c>
      <c r="L103" s="12" t="s">
        <v>32</v>
      </c>
      <c r="M103" s="13">
        <v>4</v>
      </c>
      <c r="N103" s="13">
        <v>0</v>
      </c>
      <c r="O103" s="14">
        <v>4</v>
      </c>
      <c r="P103" s="113">
        <f t="shared" ref="P103:P107" si="235">SUM(BM103:BS103)</f>
        <v>1</v>
      </c>
      <c r="Q103" s="114">
        <f t="shared" ref="Q103:Q107" si="236">K103-P103</f>
        <v>0</v>
      </c>
      <c r="R103" s="114">
        <f t="shared" ref="R103:R107" si="237">SUM(BU103:CA103)</f>
        <v>4</v>
      </c>
      <c r="S103" s="114">
        <f t="shared" ref="S103:S107" si="238">O103-R103</f>
        <v>0</v>
      </c>
      <c r="T103" s="93">
        <f t="shared" ref="T103:T107" si="239">R103/O103</f>
        <v>1</v>
      </c>
      <c r="U103" t="s">
        <v>0</v>
      </c>
      <c r="V103" s="79"/>
      <c r="W103" s="76">
        <v>1</v>
      </c>
      <c r="X103" s="76"/>
      <c r="Y103" s="76"/>
      <c r="Z103" s="76"/>
      <c r="AA103" s="80"/>
      <c r="AB103" s="79"/>
      <c r="AC103" s="76"/>
      <c r="AD103" s="76"/>
      <c r="AE103" s="76"/>
      <c r="AF103" s="76"/>
      <c r="AG103" s="80"/>
      <c r="AH103" s="79"/>
      <c r="AI103" s="76"/>
      <c r="AJ103" s="76"/>
      <c r="AK103" s="76"/>
      <c r="AL103" s="76"/>
      <c r="AM103" s="80"/>
      <c r="AN103" s="79"/>
      <c r="AO103" s="76"/>
      <c r="AP103" s="76"/>
      <c r="AQ103" s="76"/>
      <c r="AR103" s="76"/>
      <c r="AS103" s="80"/>
      <c r="AT103" s="79"/>
      <c r="AU103" s="76"/>
      <c r="AV103" s="76"/>
      <c r="AW103" s="76"/>
      <c r="AX103" s="76"/>
      <c r="AY103" s="80"/>
      <c r="AZ103" s="79"/>
      <c r="BA103" s="76"/>
      <c r="BB103" s="76"/>
      <c r="BC103" s="76"/>
      <c r="BD103" s="76"/>
      <c r="BE103" s="80"/>
      <c r="BF103" s="79"/>
      <c r="BG103" s="76"/>
      <c r="BH103" s="76"/>
      <c r="BI103" s="76"/>
      <c r="BJ103" s="76"/>
      <c r="BK103" s="80"/>
      <c r="BM103" s="125">
        <f t="shared" ref="BM103:BM107" si="240">SUM(V103:AA103)</f>
        <v>1</v>
      </c>
      <c r="BN103" s="126">
        <f t="shared" ref="BN103:BN107" si="241">SUM(AB103:AG103)</f>
        <v>0</v>
      </c>
      <c r="BO103" s="126">
        <f t="shared" ref="BO103:BO107" si="242">SUM(AH103:AM103)</f>
        <v>0</v>
      </c>
      <c r="BP103" s="126">
        <f t="shared" ref="BP103:BP107" si="243">SUM(AN103:AS103)</f>
        <v>0</v>
      </c>
      <c r="BQ103" s="126">
        <f>SUM(AT103:AY103)</f>
        <v>0</v>
      </c>
      <c r="BR103" s="126">
        <f t="shared" ref="BR103:BS107" si="244">SUM(AZ103:BE103)</f>
        <v>0</v>
      </c>
      <c r="BS103" s="127">
        <f t="shared" ref="BS103:BS107" si="245">SUM(BF103:BK103)</f>
        <v>0</v>
      </c>
      <c r="BT103" s="74"/>
      <c r="BU103" s="125">
        <f t="shared" ref="BU103:BU107" si="246">(BM103/$K103)*$O103</f>
        <v>4</v>
      </c>
      <c r="BV103" s="126">
        <f t="shared" ref="BV103:BV107" si="247">(BN103/$K103)*$O103</f>
        <v>0</v>
      </c>
      <c r="BW103" s="126">
        <f t="shared" ref="BW103:BW107" si="248">(BO103/$K103)*$O103</f>
        <v>0</v>
      </c>
      <c r="BX103" s="126">
        <f t="shared" ref="BX103:BX107" si="249">(BP103/$K103)*$O103</f>
        <v>0</v>
      </c>
      <c r="BY103" s="126">
        <f t="shared" ref="BY103:CA107" si="250">(BQ103/$K103)*$O103</f>
        <v>0</v>
      </c>
      <c r="BZ103" s="126">
        <f t="shared" si="250"/>
        <v>0</v>
      </c>
      <c r="CA103" s="126">
        <f t="shared" si="250"/>
        <v>0</v>
      </c>
    </row>
    <row r="104" spans="1:79">
      <c r="A104" s="147" t="str">
        <f t="shared" si="169"/>
        <v>D</v>
      </c>
      <c r="B104" s="148">
        <f t="shared" si="170"/>
        <v>40000</v>
      </c>
      <c r="C104" s="149" t="s">
        <v>109</v>
      </c>
      <c r="D104" s="150" t="s">
        <v>110</v>
      </c>
      <c r="E104" s="150" t="s">
        <v>0</v>
      </c>
      <c r="F104" s="145" t="s">
        <v>69</v>
      </c>
      <c r="G104" s="150" t="s">
        <v>0</v>
      </c>
      <c r="H104" s="150" t="s">
        <v>0</v>
      </c>
      <c r="I104" s="150" t="s">
        <v>0</v>
      </c>
      <c r="J104" s="151" t="s">
        <v>0</v>
      </c>
      <c r="K104" s="13">
        <v>4</v>
      </c>
      <c r="L104" s="12" t="s">
        <v>32</v>
      </c>
      <c r="M104" s="13">
        <v>16</v>
      </c>
      <c r="N104" s="13">
        <v>0</v>
      </c>
      <c r="O104" s="14">
        <v>16</v>
      </c>
      <c r="P104" s="113">
        <f t="shared" si="235"/>
        <v>4</v>
      </c>
      <c r="Q104" s="114">
        <f t="shared" si="236"/>
        <v>0</v>
      </c>
      <c r="R104" s="114">
        <f t="shared" si="237"/>
        <v>16</v>
      </c>
      <c r="S104" s="114">
        <f t="shared" si="238"/>
        <v>0</v>
      </c>
      <c r="T104" s="93">
        <f t="shared" si="239"/>
        <v>1</v>
      </c>
      <c r="U104" t="s">
        <v>0</v>
      </c>
      <c r="V104" s="79"/>
      <c r="W104" s="76"/>
      <c r="X104" s="76"/>
      <c r="Y104" s="76"/>
      <c r="Z104" s="76"/>
      <c r="AA104" s="80"/>
      <c r="AB104" s="79"/>
      <c r="AC104" s="76"/>
      <c r="AD104" s="76">
        <v>4</v>
      </c>
      <c r="AE104" s="76"/>
      <c r="AF104" s="76"/>
      <c r="AG104" s="80"/>
      <c r="AH104" s="79"/>
      <c r="AI104" s="76"/>
      <c r="AJ104" s="76"/>
      <c r="AK104" s="76"/>
      <c r="AL104" s="76"/>
      <c r="AM104" s="80"/>
      <c r="AN104" s="79"/>
      <c r="AO104" s="76"/>
      <c r="AP104" s="76"/>
      <c r="AQ104" s="76"/>
      <c r="AR104" s="76"/>
      <c r="AS104" s="80"/>
      <c r="AT104" s="79"/>
      <c r="AU104" s="76"/>
      <c r="AV104" s="76"/>
      <c r="AW104" s="76"/>
      <c r="AX104" s="76"/>
      <c r="AY104" s="80"/>
      <c r="AZ104" s="79"/>
      <c r="BA104" s="76"/>
      <c r="BB104" s="76"/>
      <c r="BC104" s="76"/>
      <c r="BD104" s="76"/>
      <c r="BE104" s="80"/>
      <c r="BF104" s="79"/>
      <c r="BG104" s="76"/>
      <c r="BH104" s="76"/>
      <c r="BI104" s="76"/>
      <c r="BJ104" s="76"/>
      <c r="BK104" s="80"/>
      <c r="BM104" s="125">
        <f t="shared" si="240"/>
        <v>0</v>
      </c>
      <c r="BN104" s="126">
        <f t="shared" si="241"/>
        <v>4</v>
      </c>
      <c r="BO104" s="126">
        <f t="shared" si="242"/>
        <v>0</v>
      </c>
      <c r="BP104" s="126">
        <f t="shared" si="243"/>
        <v>0</v>
      </c>
      <c r="BQ104" s="126">
        <f>SUM(AT104:AY104)</f>
        <v>0</v>
      </c>
      <c r="BR104" s="126">
        <f t="shared" si="244"/>
        <v>0</v>
      </c>
      <c r="BS104" s="127">
        <f t="shared" si="245"/>
        <v>0</v>
      </c>
      <c r="BT104" s="74"/>
      <c r="BU104" s="125">
        <f t="shared" si="246"/>
        <v>0</v>
      </c>
      <c r="BV104" s="126">
        <f t="shared" si="247"/>
        <v>16</v>
      </c>
      <c r="BW104" s="126">
        <f t="shared" si="248"/>
        <v>0</v>
      </c>
      <c r="BX104" s="126">
        <f t="shared" si="249"/>
        <v>0</v>
      </c>
      <c r="BY104" s="126">
        <f t="shared" si="250"/>
        <v>0</v>
      </c>
      <c r="BZ104" s="126">
        <f t="shared" si="250"/>
        <v>0</v>
      </c>
      <c r="CA104" s="126">
        <f t="shared" si="250"/>
        <v>0</v>
      </c>
    </row>
    <row r="105" spans="1:79">
      <c r="A105" s="147" t="str">
        <f t="shared" si="169"/>
        <v>D</v>
      </c>
      <c r="B105" s="148">
        <f t="shared" si="170"/>
        <v>40000</v>
      </c>
      <c r="C105" s="149" t="s">
        <v>109</v>
      </c>
      <c r="D105" s="150" t="s">
        <v>110</v>
      </c>
      <c r="E105" s="150" t="s">
        <v>0</v>
      </c>
      <c r="F105" s="145" t="s">
        <v>70</v>
      </c>
      <c r="G105" s="150" t="s">
        <v>0</v>
      </c>
      <c r="H105" s="150" t="s">
        <v>0</v>
      </c>
      <c r="I105" s="150" t="s">
        <v>0</v>
      </c>
      <c r="J105" s="151" t="s">
        <v>0</v>
      </c>
      <c r="K105" s="13">
        <v>4</v>
      </c>
      <c r="L105" s="12" t="s">
        <v>32</v>
      </c>
      <c r="M105" s="13">
        <v>6</v>
      </c>
      <c r="N105" s="13">
        <v>0</v>
      </c>
      <c r="O105" s="14">
        <v>6</v>
      </c>
      <c r="P105" s="113">
        <f t="shared" si="235"/>
        <v>4</v>
      </c>
      <c r="Q105" s="114">
        <f t="shared" si="236"/>
        <v>0</v>
      </c>
      <c r="R105" s="114">
        <f t="shared" si="237"/>
        <v>6</v>
      </c>
      <c r="S105" s="114">
        <f t="shared" si="238"/>
        <v>0</v>
      </c>
      <c r="T105" s="93">
        <f t="shared" si="239"/>
        <v>1</v>
      </c>
      <c r="U105" t="s">
        <v>0</v>
      </c>
      <c r="V105" s="79"/>
      <c r="W105" s="76"/>
      <c r="X105" s="76"/>
      <c r="Y105" s="76">
        <v>4</v>
      </c>
      <c r="Z105" s="76"/>
      <c r="AA105" s="80"/>
      <c r="AB105" s="79"/>
      <c r="AC105" s="76"/>
      <c r="AD105" s="76"/>
      <c r="AE105" s="76"/>
      <c r="AF105" s="76"/>
      <c r="AG105" s="80"/>
      <c r="AH105" s="79"/>
      <c r="AI105" s="76"/>
      <c r="AJ105" s="76"/>
      <c r="AK105" s="76"/>
      <c r="AL105" s="76"/>
      <c r="AM105" s="80"/>
      <c r="AN105" s="79"/>
      <c r="AO105" s="76"/>
      <c r="AP105" s="76"/>
      <c r="AQ105" s="76"/>
      <c r="AR105" s="76"/>
      <c r="AS105" s="80"/>
      <c r="AT105" s="79"/>
      <c r="AU105" s="76"/>
      <c r="AV105" s="76"/>
      <c r="AW105" s="76"/>
      <c r="AX105" s="76"/>
      <c r="AY105" s="80"/>
      <c r="AZ105" s="79"/>
      <c r="BA105" s="76"/>
      <c r="BB105" s="76"/>
      <c r="BC105" s="76"/>
      <c r="BD105" s="76"/>
      <c r="BE105" s="80"/>
      <c r="BF105" s="79"/>
      <c r="BG105" s="76"/>
      <c r="BH105" s="76"/>
      <c r="BI105" s="76"/>
      <c r="BJ105" s="76"/>
      <c r="BK105" s="80"/>
      <c r="BM105" s="125">
        <f t="shared" si="240"/>
        <v>4</v>
      </c>
      <c r="BN105" s="126">
        <f t="shared" si="241"/>
        <v>0</v>
      </c>
      <c r="BO105" s="126">
        <f t="shared" si="242"/>
        <v>0</v>
      </c>
      <c r="BP105" s="126">
        <f t="shared" si="243"/>
        <v>0</v>
      </c>
      <c r="BQ105" s="126">
        <f>SUM(AT105:AY105)</f>
        <v>0</v>
      </c>
      <c r="BR105" s="126">
        <f t="shared" si="244"/>
        <v>0</v>
      </c>
      <c r="BS105" s="127">
        <f t="shared" si="245"/>
        <v>0</v>
      </c>
      <c r="BT105" s="74"/>
      <c r="BU105" s="125">
        <f t="shared" si="246"/>
        <v>6</v>
      </c>
      <c r="BV105" s="126">
        <f t="shared" si="247"/>
        <v>0</v>
      </c>
      <c r="BW105" s="126">
        <f t="shared" si="248"/>
        <v>0</v>
      </c>
      <c r="BX105" s="126">
        <f t="shared" si="249"/>
        <v>0</v>
      </c>
      <c r="BY105" s="126">
        <f t="shared" si="250"/>
        <v>0</v>
      </c>
      <c r="BZ105" s="126">
        <f t="shared" si="250"/>
        <v>0</v>
      </c>
      <c r="CA105" s="126">
        <f t="shared" si="250"/>
        <v>0</v>
      </c>
    </row>
    <row r="106" spans="1:79">
      <c r="A106" s="147" t="str">
        <f t="shared" si="169"/>
        <v>D</v>
      </c>
      <c r="B106" s="148">
        <f t="shared" si="170"/>
        <v>40000</v>
      </c>
      <c r="C106" s="149" t="s">
        <v>109</v>
      </c>
      <c r="D106" s="150" t="s">
        <v>110</v>
      </c>
      <c r="E106" s="150" t="s">
        <v>0</v>
      </c>
      <c r="F106" s="145" t="s">
        <v>71</v>
      </c>
      <c r="G106" s="150" t="s">
        <v>0</v>
      </c>
      <c r="H106" s="150" t="s">
        <v>0</v>
      </c>
      <c r="I106" s="150" t="s">
        <v>0</v>
      </c>
      <c r="J106" s="151" t="s">
        <v>0</v>
      </c>
      <c r="K106" s="13">
        <v>4</v>
      </c>
      <c r="L106" s="12" t="s">
        <v>32</v>
      </c>
      <c r="M106" s="13">
        <v>4</v>
      </c>
      <c r="N106" s="13">
        <v>0</v>
      </c>
      <c r="O106" s="14">
        <v>4</v>
      </c>
      <c r="P106" s="113">
        <f t="shared" si="235"/>
        <v>4</v>
      </c>
      <c r="Q106" s="114">
        <f t="shared" si="236"/>
        <v>0</v>
      </c>
      <c r="R106" s="114">
        <f t="shared" si="237"/>
        <v>4</v>
      </c>
      <c r="S106" s="114">
        <f t="shared" si="238"/>
        <v>0</v>
      </c>
      <c r="T106" s="93">
        <f t="shared" si="239"/>
        <v>1</v>
      </c>
      <c r="U106" t="s">
        <v>0</v>
      </c>
      <c r="V106" s="79"/>
      <c r="W106" s="76"/>
      <c r="X106" s="76"/>
      <c r="Y106" s="76"/>
      <c r="Z106" s="76"/>
      <c r="AA106" s="80"/>
      <c r="AB106" s="79"/>
      <c r="AC106" s="76"/>
      <c r="AD106" s="76">
        <v>4</v>
      </c>
      <c r="AE106" s="76"/>
      <c r="AF106" s="76"/>
      <c r="AG106" s="80"/>
      <c r="AH106" s="79"/>
      <c r="AI106" s="76"/>
      <c r="AJ106" s="76"/>
      <c r="AK106" s="76"/>
      <c r="AL106" s="76"/>
      <c r="AM106" s="80"/>
      <c r="AN106" s="79"/>
      <c r="AO106" s="76"/>
      <c r="AP106" s="76"/>
      <c r="AQ106" s="76"/>
      <c r="AR106" s="76"/>
      <c r="AS106" s="80"/>
      <c r="AT106" s="79"/>
      <c r="AU106" s="76"/>
      <c r="AV106" s="76"/>
      <c r="AW106" s="76"/>
      <c r="AX106" s="76"/>
      <c r="AY106" s="80"/>
      <c r="AZ106" s="79"/>
      <c r="BA106" s="76"/>
      <c r="BB106" s="76"/>
      <c r="BC106" s="76"/>
      <c r="BD106" s="76"/>
      <c r="BE106" s="80"/>
      <c r="BF106" s="79"/>
      <c r="BG106" s="76"/>
      <c r="BH106" s="76"/>
      <c r="BI106" s="76"/>
      <c r="BJ106" s="76"/>
      <c r="BK106" s="80"/>
      <c r="BM106" s="125">
        <f t="shared" si="240"/>
        <v>0</v>
      </c>
      <c r="BN106" s="126">
        <f t="shared" si="241"/>
        <v>4</v>
      </c>
      <c r="BO106" s="126">
        <f t="shared" si="242"/>
        <v>0</v>
      </c>
      <c r="BP106" s="126">
        <f t="shared" si="243"/>
        <v>0</v>
      </c>
      <c r="BQ106" s="126">
        <f>SUM(AT106:AY106)</f>
        <v>0</v>
      </c>
      <c r="BR106" s="126">
        <f t="shared" si="244"/>
        <v>0</v>
      </c>
      <c r="BS106" s="127">
        <f t="shared" si="245"/>
        <v>0</v>
      </c>
      <c r="BT106" s="74"/>
      <c r="BU106" s="125">
        <f t="shared" si="246"/>
        <v>0</v>
      </c>
      <c r="BV106" s="126">
        <f t="shared" si="247"/>
        <v>4</v>
      </c>
      <c r="BW106" s="126">
        <f t="shared" si="248"/>
        <v>0</v>
      </c>
      <c r="BX106" s="126">
        <f t="shared" si="249"/>
        <v>0</v>
      </c>
      <c r="BY106" s="126">
        <f t="shared" si="250"/>
        <v>0</v>
      </c>
      <c r="BZ106" s="126">
        <f t="shared" si="250"/>
        <v>0</v>
      </c>
      <c r="CA106" s="126">
        <f t="shared" si="250"/>
        <v>0</v>
      </c>
    </row>
    <row r="107" spans="1:79">
      <c r="A107" s="147" t="str">
        <f t="shared" si="169"/>
        <v>D</v>
      </c>
      <c r="B107" s="148">
        <f t="shared" si="170"/>
        <v>40000</v>
      </c>
      <c r="C107" s="149" t="s">
        <v>109</v>
      </c>
      <c r="D107" s="150" t="s">
        <v>110</v>
      </c>
      <c r="E107" s="150" t="s">
        <v>0</v>
      </c>
      <c r="F107" s="145" t="s">
        <v>72</v>
      </c>
      <c r="G107" s="150" t="s">
        <v>0</v>
      </c>
      <c r="H107" s="150" t="s">
        <v>0</v>
      </c>
      <c r="I107" s="150" t="s">
        <v>0</v>
      </c>
      <c r="J107" s="151" t="s">
        <v>0</v>
      </c>
      <c r="K107" s="13">
        <v>2.5</v>
      </c>
      <c r="L107" s="12" t="s">
        <v>67</v>
      </c>
      <c r="M107" s="13">
        <v>1.88</v>
      </c>
      <c r="N107" s="13">
        <v>0</v>
      </c>
      <c r="O107" s="14">
        <v>1.88</v>
      </c>
      <c r="P107" s="113">
        <f t="shared" si="235"/>
        <v>2.5</v>
      </c>
      <c r="Q107" s="114">
        <f t="shared" si="236"/>
        <v>0</v>
      </c>
      <c r="R107" s="114">
        <f t="shared" si="237"/>
        <v>1.88</v>
      </c>
      <c r="S107" s="114">
        <f t="shared" si="238"/>
        <v>0</v>
      </c>
      <c r="T107" s="93">
        <f t="shared" si="239"/>
        <v>1</v>
      </c>
      <c r="U107" t="s">
        <v>0</v>
      </c>
      <c r="V107" s="79"/>
      <c r="W107" s="76"/>
      <c r="X107" s="76"/>
      <c r="Y107" s="76"/>
      <c r="Z107" s="76"/>
      <c r="AA107" s="80"/>
      <c r="AB107" s="79"/>
      <c r="AC107" s="76"/>
      <c r="AD107" s="76"/>
      <c r="AE107" s="76"/>
      <c r="AF107" s="76">
        <v>2.5</v>
      </c>
      <c r="AG107" s="80"/>
      <c r="AH107" s="79"/>
      <c r="AI107" s="76"/>
      <c r="AJ107" s="76"/>
      <c r="AK107" s="76"/>
      <c r="AL107" s="76"/>
      <c r="AM107" s="80"/>
      <c r="AN107" s="79"/>
      <c r="AO107" s="76"/>
      <c r="AP107" s="76"/>
      <c r="AQ107" s="76"/>
      <c r="AR107" s="76"/>
      <c r="AS107" s="80"/>
      <c r="AT107" s="79"/>
      <c r="AU107" s="76"/>
      <c r="AV107" s="76"/>
      <c r="AW107" s="76"/>
      <c r="AX107" s="76"/>
      <c r="AY107" s="80"/>
      <c r="AZ107" s="79"/>
      <c r="BA107" s="76"/>
      <c r="BB107" s="76"/>
      <c r="BC107" s="76"/>
      <c r="BD107" s="76"/>
      <c r="BE107" s="80"/>
      <c r="BF107" s="79"/>
      <c r="BG107" s="76"/>
      <c r="BH107" s="76"/>
      <c r="BI107" s="76"/>
      <c r="BJ107" s="76"/>
      <c r="BK107" s="80"/>
      <c r="BM107" s="125">
        <f t="shared" si="240"/>
        <v>0</v>
      </c>
      <c r="BN107" s="126">
        <f t="shared" si="241"/>
        <v>2.5</v>
      </c>
      <c r="BO107" s="126">
        <f t="shared" si="242"/>
        <v>0</v>
      </c>
      <c r="BP107" s="126">
        <f t="shared" si="243"/>
        <v>0</v>
      </c>
      <c r="BQ107" s="126">
        <f>SUM(AT107:AY107)</f>
        <v>0</v>
      </c>
      <c r="BR107" s="126">
        <f t="shared" si="244"/>
        <v>0</v>
      </c>
      <c r="BS107" s="127">
        <f t="shared" si="245"/>
        <v>0</v>
      </c>
      <c r="BT107" s="74"/>
      <c r="BU107" s="125">
        <f t="shared" si="246"/>
        <v>0</v>
      </c>
      <c r="BV107" s="126">
        <f t="shared" si="247"/>
        <v>1.88</v>
      </c>
      <c r="BW107" s="126">
        <f t="shared" si="248"/>
        <v>0</v>
      </c>
      <c r="BX107" s="126">
        <f t="shared" si="249"/>
        <v>0</v>
      </c>
      <c r="BY107" s="126">
        <f t="shared" si="250"/>
        <v>0</v>
      </c>
      <c r="BZ107" s="126">
        <f t="shared" si="250"/>
        <v>0</v>
      </c>
      <c r="CA107" s="126">
        <f t="shared" si="250"/>
        <v>0</v>
      </c>
    </row>
    <row r="108" spans="1:79" ht="15.75">
      <c r="A108" s="152" t="str">
        <f t="shared" si="169"/>
        <v>P</v>
      </c>
      <c r="B108" s="153">
        <f t="shared" si="170"/>
        <v>40000</v>
      </c>
      <c r="C108" s="154" t="s">
        <v>111</v>
      </c>
      <c r="D108" s="155" t="s">
        <v>112</v>
      </c>
      <c r="E108" s="155" t="s">
        <v>0</v>
      </c>
      <c r="F108" s="156" t="s">
        <v>113</v>
      </c>
      <c r="G108" s="155" t="s">
        <v>54</v>
      </c>
      <c r="H108" s="155" t="s">
        <v>0</v>
      </c>
      <c r="I108" s="155" t="s">
        <v>0</v>
      </c>
      <c r="J108" s="157" t="s">
        <v>0</v>
      </c>
      <c r="K108" s="9">
        <v>13.5</v>
      </c>
      <c r="L108" s="8" t="s">
        <v>67</v>
      </c>
      <c r="M108" s="9">
        <v>157.13</v>
      </c>
      <c r="N108" s="9">
        <v>0</v>
      </c>
      <c r="O108" s="10">
        <v>157.13</v>
      </c>
      <c r="P108" s="111"/>
      <c r="Q108" s="112"/>
      <c r="R108" s="112">
        <f>SUMIFS(R109:R$415,$C109:$C$415,$C108)</f>
        <v>157.13</v>
      </c>
      <c r="S108" s="112">
        <f>SUMIFS(S109:S$415,$C109:$C$415,$C108)</f>
        <v>0</v>
      </c>
      <c r="T108" s="92">
        <f>R108/O108</f>
        <v>1</v>
      </c>
      <c r="V108" s="77"/>
      <c r="W108" s="75"/>
      <c r="X108" s="75"/>
      <c r="Y108" s="75"/>
      <c r="Z108" s="75"/>
      <c r="AA108" s="78"/>
      <c r="AB108" s="77"/>
      <c r="AC108" s="75"/>
      <c r="AD108" s="75"/>
      <c r="AE108" s="75"/>
      <c r="AF108" s="75"/>
      <c r="AG108" s="78"/>
      <c r="AH108" s="77"/>
      <c r="AI108" s="75"/>
      <c r="AJ108" s="75"/>
      <c r="AK108" s="75"/>
      <c r="AL108" s="75"/>
      <c r="AM108" s="78"/>
      <c r="AN108" s="77"/>
      <c r="AO108" s="75"/>
      <c r="AP108" s="75"/>
      <c r="AQ108" s="75"/>
      <c r="AR108" s="75"/>
      <c r="AS108" s="78"/>
      <c r="AT108" s="77"/>
      <c r="AU108" s="75"/>
      <c r="AV108" s="75"/>
      <c r="AW108" s="75"/>
      <c r="AX108" s="75"/>
      <c r="AY108" s="78"/>
      <c r="AZ108" s="77"/>
      <c r="BA108" s="75"/>
      <c r="BB108" s="75"/>
      <c r="BC108" s="75"/>
      <c r="BD108" s="75"/>
      <c r="BE108" s="78"/>
      <c r="BF108" s="77"/>
      <c r="BG108" s="75"/>
      <c r="BH108" s="75"/>
      <c r="BI108" s="75"/>
      <c r="BJ108" s="75"/>
      <c r="BK108" s="78"/>
      <c r="BM108" s="122"/>
      <c r="BN108" s="123"/>
      <c r="BO108" s="123"/>
      <c r="BP108" s="123"/>
      <c r="BQ108" s="123"/>
      <c r="BR108" s="123"/>
      <c r="BS108" s="124"/>
      <c r="BT108" s="74"/>
      <c r="BU108" s="122"/>
      <c r="BV108" s="123"/>
      <c r="BW108" s="123"/>
      <c r="BX108" s="123"/>
      <c r="BY108" s="123"/>
      <c r="BZ108" s="123"/>
      <c r="CA108" s="123"/>
    </row>
    <row r="109" spans="1:79">
      <c r="A109" s="147" t="str">
        <f t="shared" si="169"/>
        <v>D</v>
      </c>
      <c r="B109" s="148">
        <f t="shared" si="170"/>
        <v>40000</v>
      </c>
      <c r="C109" s="149" t="s">
        <v>111</v>
      </c>
      <c r="D109" s="150" t="s">
        <v>112</v>
      </c>
      <c r="E109" s="150" t="s">
        <v>0</v>
      </c>
      <c r="F109" s="145" t="s">
        <v>68</v>
      </c>
      <c r="G109" s="150" t="s">
        <v>54</v>
      </c>
      <c r="H109" s="150" t="s">
        <v>0</v>
      </c>
      <c r="I109" s="150" t="s">
        <v>0</v>
      </c>
      <c r="J109" s="151" t="s">
        <v>0</v>
      </c>
      <c r="K109" s="13">
        <v>1</v>
      </c>
      <c r="L109" s="12" t="s">
        <v>32</v>
      </c>
      <c r="M109" s="13">
        <v>6</v>
      </c>
      <c r="N109" s="13">
        <v>0</v>
      </c>
      <c r="O109" s="14">
        <v>6</v>
      </c>
      <c r="P109" s="113">
        <f t="shared" ref="P109:P114" si="251">SUM(BM109:BS109)</f>
        <v>1</v>
      </c>
      <c r="Q109" s="114">
        <f t="shared" ref="Q109:Q114" si="252">K109-P109</f>
        <v>0</v>
      </c>
      <c r="R109" s="114">
        <f t="shared" ref="R109:R114" si="253">SUM(BU109:CA109)</f>
        <v>6</v>
      </c>
      <c r="S109" s="114">
        <f t="shared" ref="S109:S114" si="254">O109-R109</f>
        <v>0</v>
      </c>
      <c r="T109" s="93">
        <f t="shared" ref="T109:T114" si="255">R109/O109</f>
        <v>1</v>
      </c>
      <c r="U109" t="s">
        <v>0</v>
      </c>
      <c r="V109" s="79"/>
      <c r="W109" s="76">
        <v>1</v>
      </c>
      <c r="X109" s="76"/>
      <c r="Y109" s="76"/>
      <c r="Z109" s="76"/>
      <c r="AA109" s="80"/>
      <c r="AB109" s="79"/>
      <c r="AC109" s="76"/>
      <c r="AD109" s="76"/>
      <c r="AE109" s="76"/>
      <c r="AF109" s="76"/>
      <c r="AG109" s="80"/>
      <c r="AH109" s="79"/>
      <c r="AI109" s="76"/>
      <c r="AJ109" s="76"/>
      <c r="AK109" s="76"/>
      <c r="AL109" s="76"/>
      <c r="AM109" s="80"/>
      <c r="AN109" s="79"/>
      <c r="AO109" s="76"/>
      <c r="AP109" s="76"/>
      <c r="AQ109" s="76"/>
      <c r="AR109" s="76"/>
      <c r="AS109" s="80"/>
      <c r="AT109" s="79"/>
      <c r="AU109" s="76"/>
      <c r="AV109" s="76"/>
      <c r="AW109" s="76"/>
      <c r="AX109" s="76"/>
      <c r="AY109" s="80"/>
      <c r="AZ109" s="79"/>
      <c r="BA109" s="76"/>
      <c r="BB109" s="76"/>
      <c r="BC109" s="76"/>
      <c r="BD109" s="76"/>
      <c r="BE109" s="80"/>
      <c r="BF109" s="79"/>
      <c r="BG109" s="76"/>
      <c r="BH109" s="76"/>
      <c r="BI109" s="76"/>
      <c r="BJ109" s="76"/>
      <c r="BK109" s="80"/>
      <c r="BM109" s="125">
        <f t="shared" ref="BM109:BM114" si="256">SUM(V109:AA109)</f>
        <v>1</v>
      </c>
      <c r="BN109" s="126">
        <f t="shared" ref="BN109:BN114" si="257">SUM(AB109:AG109)</f>
        <v>0</v>
      </c>
      <c r="BO109" s="126">
        <f t="shared" ref="BO109:BO114" si="258">SUM(AH109:AM109)</f>
        <v>0</v>
      </c>
      <c r="BP109" s="126">
        <f t="shared" ref="BP109:BP114" si="259">SUM(AN109:AS109)</f>
        <v>0</v>
      </c>
      <c r="BQ109" s="126">
        <f>SUM(AT109:AY109)</f>
        <v>0</v>
      </c>
      <c r="BR109" s="126">
        <f t="shared" ref="BR109:BS114" si="260">SUM(AZ109:BE109)</f>
        <v>0</v>
      </c>
      <c r="BS109" s="127">
        <f t="shared" ref="BS109:BS114" si="261">SUM(BF109:BK109)</f>
        <v>0</v>
      </c>
      <c r="BT109" s="74"/>
      <c r="BU109" s="125">
        <f t="shared" ref="BU109:BU114" si="262">(BM109/$K109)*$O109</f>
        <v>6</v>
      </c>
      <c r="BV109" s="126">
        <f t="shared" ref="BV109:BV114" si="263">(BN109/$K109)*$O109</f>
        <v>0</v>
      </c>
      <c r="BW109" s="126">
        <f t="shared" ref="BW109:BW114" si="264">(BO109/$K109)*$O109</f>
        <v>0</v>
      </c>
      <c r="BX109" s="126">
        <f t="shared" ref="BX109:BX114" si="265">(BP109/$K109)*$O109</f>
        <v>0</v>
      </c>
      <c r="BY109" s="126">
        <f t="shared" ref="BY109:CA114" si="266">(BQ109/$K109)*$O109</f>
        <v>0</v>
      </c>
      <c r="BZ109" s="126">
        <f t="shared" si="266"/>
        <v>0</v>
      </c>
      <c r="CA109" s="126">
        <f t="shared" si="266"/>
        <v>0</v>
      </c>
    </row>
    <row r="110" spans="1:79">
      <c r="A110" s="147" t="str">
        <f t="shared" si="169"/>
        <v>D</v>
      </c>
      <c r="B110" s="148">
        <f t="shared" si="170"/>
        <v>40000</v>
      </c>
      <c r="C110" s="149" t="s">
        <v>111</v>
      </c>
      <c r="D110" s="150" t="s">
        <v>112</v>
      </c>
      <c r="E110" s="150" t="s">
        <v>0</v>
      </c>
      <c r="F110" s="145" t="s">
        <v>69</v>
      </c>
      <c r="G110" s="150" t="s">
        <v>54</v>
      </c>
      <c r="H110" s="150" t="s">
        <v>0</v>
      </c>
      <c r="I110" s="150" t="s">
        <v>0</v>
      </c>
      <c r="J110" s="151" t="s">
        <v>0</v>
      </c>
      <c r="K110" s="13">
        <v>32</v>
      </c>
      <c r="L110" s="12" t="s">
        <v>32</v>
      </c>
      <c r="M110" s="13">
        <v>64</v>
      </c>
      <c r="N110" s="13">
        <v>0</v>
      </c>
      <c r="O110" s="14">
        <v>64</v>
      </c>
      <c r="P110" s="113">
        <f t="shared" si="251"/>
        <v>32</v>
      </c>
      <c r="Q110" s="114">
        <f t="shared" si="252"/>
        <v>0</v>
      </c>
      <c r="R110" s="114">
        <f t="shared" si="253"/>
        <v>64</v>
      </c>
      <c r="S110" s="114">
        <f t="shared" si="254"/>
        <v>0</v>
      </c>
      <c r="T110" s="93">
        <f t="shared" si="255"/>
        <v>1</v>
      </c>
      <c r="U110" t="s">
        <v>0</v>
      </c>
      <c r="V110" s="79"/>
      <c r="W110" s="76"/>
      <c r="X110" s="76"/>
      <c r="Y110" s="76"/>
      <c r="Z110" s="76"/>
      <c r="AA110" s="80"/>
      <c r="AB110" s="79"/>
      <c r="AC110" s="76"/>
      <c r="AD110" s="76"/>
      <c r="AE110" s="76"/>
      <c r="AF110" s="76"/>
      <c r="AG110" s="80">
        <v>32</v>
      </c>
      <c r="AH110" s="79"/>
      <c r="AI110" s="76"/>
      <c r="AJ110" s="76"/>
      <c r="AK110" s="76"/>
      <c r="AL110" s="76"/>
      <c r="AM110" s="80"/>
      <c r="AN110" s="79"/>
      <c r="AO110" s="76"/>
      <c r="AP110" s="76"/>
      <c r="AQ110" s="76"/>
      <c r="AR110" s="76"/>
      <c r="AS110" s="80"/>
      <c r="AT110" s="79"/>
      <c r="AU110" s="76"/>
      <c r="AV110" s="76"/>
      <c r="AW110" s="76"/>
      <c r="AX110" s="76"/>
      <c r="AY110" s="80"/>
      <c r="AZ110" s="79"/>
      <c r="BA110" s="76"/>
      <c r="BB110" s="76"/>
      <c r="BC110" s="76"/>
      <c r="BD110" s="76"/>
      <c r="BE110" s="80"/>
      <c r="BF110" s="79"/>
      <c r="BG110" s="76"/>
      <c r="BH110" s="76"/>
      <c r="BI110" s="76"/>
      <c r="BJ110" s="76"/>
      <c r="BK110" s="80"/>
      <c r="BM110" s="125">
        <f t="shared" si="256"/>
        <v>0</v>
      </c>
      <c r="BN110" s="126">
        <f t="shared" si="257"/>
        <v>32</v>
      </c>
      <c r="BO110" s="126">
        <f t="shared" si="258"/>
        <v>0</v>
      </c>
      <c r="BP110" s="126">
        <f t="shared" si="259"/>
        <v>0</v>
      </c>
      <c r="BQ110" s="126">
        <f>SUM(AT110:AY110)</f>
        <v>0</v>
      </c>
      <c r="BR110" s="126">
        <f t="shared" si="260"/>
        <v>0</v>
      </c>
      <c r="BS110" s="127">
        <f t="shared" si="261"/>
        <v>0</v>
      </c>
      <c r="BT110" s="74"/>
      <c r="BU110" s="125">
        <f t="shared" si="262"/>
        <v>0</v>
      </c>
      <c r="BV110" s="126">
        <f t="shared" si="263"/>
        <v>64</v>
      </c>
      <c r="BW110" s="126">
        <f t="shared" si="264"/>
        <v>0</v>
      </c>
      <c r="BX110" s="126">
        <f t="shared" si="265"/>
        <v>0</v>
      </c>
      <c r="BY110" s="126">
        <f t="shared" si="266"/>
        <v>0</v>
      </c>
      <c r="BZ110" s="126">
        <f t="shared" si="266"/>
        <v>0</v>
      </c>
      <c r="CA110" s="126">
        <f t="shared" si="266"/>
        <v>0</v>
      </c>
    </row>
    <row r="111" spans="1:79">
      <c r="A111" s="147" t="str">
        <f t="shared" si="169"/>
        <v>D</v>
      </c>
      <c r="B111" s="148">
        <f t="shared" si="170"/>
        <v>40000</v>
      </c>
      <c r="C111" s="149" t="s">
        <v>111</v>
      </c>
      <c r="D111" s="150" t="s">
        <v>112</v>
      </c>
      <c r="E111" s="150" t="s">
        <v>0</v>
      </c>
      <c r="F111" s="145" t="s">
        <v>70</v>
      </c>
      <c r="G111" s="150" t="s">
        <v>54</v>
      </c>
      <c r="H111" s="150" t="s">
        <v>0</v>
      </c>
      <c r="I111" s="150" t="s">
        <v>0</v>
      </c>
      <c r="J111" s="151" t="s">
        <v>0</v>
      </c>
      <c r="K111" s="13">
        <v>8</v>
      </c>
      <c r="L111" s="12" t="s">
        <v>32</v>
      </c>
      <c r="M111" s="13">
        <v>20</v>
      </c>
      <c r="N111" s="13">
        <v>0</v>
      </c>
      <c r="O111" s="14">
        <v>20</v>
      </c>
      <c r="P111" s="113">
        <f t="shared" si="251"/>
        <v>8</v>
      </c>
      <c r="Q111" s="114">
        <f t="shared" si="252"/>
        <v>0</v>
      </c>
      <c r="R111" s="114">
        <f t="shared" si="253"/>
        <v>20</v>
      </c>
      <c r="S111" s="114">
        <f t="shared" si="254"/>
        <v>0</v>
      </c>
      <c r="T111" s="93">
        <f t="shared" si="255"/>
        <v>1</v>
      </c>
      <c r="U111" t="s">
        <v>0</v>
      </c>
      <c r="V111" s="79"/>
      <c r="W111" s="76"/>
      <c r="X111" s="76"/>
      <c r="Y111" s="76">
        <v>8</v>
      </c>
      <c r="Z111" s="76"/>
      <c r="AA111" s="80"/>
      <c r="AB111" s="79"/>
      <c r="AC111" s="76"/>
      <c r="AD111" s="76"/>
      <c r="AE111" s="76"/>
      <c r="AF111" s="76"/>
      <c r="AG111" s="80"/>
      <c r="AH111" s="79"/>
      <c r="AI111" s="76"/>
      <c r="AJ111" s="76"/>
      <c r="AK111" s="76"/>
      <c r="AL111" s="76"/>
      <c r="AM111" s="80"/>
      <c r="AN111" s="79"/>
      <c r="AO111" s="76"/>
      <c r="AP111" s="76"/>
      <c r="AQ111" s="76"/>
      <c r="AR111" s="76"/>
      <c r="AS111" s="80"/>
      <c r="AT111" s="79"/>
      <c r="AU111" s="76"/>
      <c r="AV111" s="76"/>
      <c r="AW111" s="76"/>
      <c r="AX111" s="76"/>
      <c r="AY111" s="80"/>
      <c r="AZ111" s="79"/>
      <c r="BA111" s="76"/>
      <c r="BB111" s="76"/>
      <c r="BC111" s="76"/>
      <c r="BD111" s="76"/>
      <c r="BE111" s="80"/>
      <c r="BF111" s="79"/>
      <c r="BG111" s="76"/>
      <c r="BH111" s="76"/>
      <c r="BI111" s="76"/>
      <c r="BJ111" s="76"/>
      <c r="BK111" s="80"/>
      <c r="BM111" s="125">
        <f t="shared" si="256"/>
        <v>8</v>
      </c>
      <c r="BN111" s="126">
        <f t="shared" si="257"/>
        <v>0</v>
      </c>
      <c r="BO111" s="126">
        <f t="shared" si="258"/>
        <v>0</v>
      </c>
      <c r="BP111" s="126">
        <f t="shared" si="259"/>
        <v>0</v>
      </c>
      <c r="BQ111" s="126">
        <f>SUM(AT111:AY111)</f>
        <v>0</v>
      </c>
      <c r="BR111" s="126">
        <f t="shared" si="260"/>
        <v>0</v>
      </c>
      <c r="BS111" s="127">
        <f t="shared" si="261"/>
        <v>0</v>
      </c>
      <c r="BT111" s="74"/>
      <c r="BU111" s="125">
        <f t="shared" si="262"/>
        <v>20</v>
      </c>
      <c r="BV111" s="126">
        <f t="shared" si="263"/>
        <v>0</v>
      </c>
      <c r="BW111" s="126">
        <f t="shared" si="264"/>
        <v>0</v>
      </c>
      <c r="BX111" s="126">
        <f t="shared" si="265"/>
        <v>0</v>
      </c>
      <c r="BY111" s="126">
        <f t="shared" si="266"/>
        <v>0</v>
      </c>
      <c r="BZ111" s="126">
        <f t="shared" si="266"/>
        <v>0</v>
      </c>
      <c r="CA111" s="126">
        <f t="shared" si="266"/>
        <v>0</v>
      </c>
    </row>
    <row r="112" spans="1:79">
      <c r="A112" s="147" t="str">
        <f t="shared" si="169"/>
        <v>D</v>
      </c>
      <c r="B112" s="148">
        <f t="shared" si="170"/>
        <v>40000</v>
      </c>
      <c r="C112" s="149" t="s">
        <v>111</v>
      </c>
      <c r="D112" s="150" t="s">
        <v>112</v>
      </c>
      <c r="E112" s="150" t="s">
        <v>0</v>
      </c>
      <c r="F112" s="145" t="s">
        <v>71</v>
      </c>
      <c r="G112" s="150" t="s">
        <v>54</v>
      </c>
      <c r="H112" s="150" t="s">
        <v>0</v>
      </c>
      <c r="I112" s="150" t="s">
        <v>0</v>
      </c>
      <c r="J112" s="151" t="s">
        <v>0</v>
      </c>
      <c r="K112" s="13">
        <v>32</v>
      </c>
      <c r="L112" s="12" t="s">
        <v>32</v>
      </c>
      <c r="M112" s="13">
        <v>32</v>
      </c>
      <c r="N112" s="13">
        <v>0</v>
      </c>
      <c r="O112" s="14">
        <v>32</v>
      </c>
      <c r="P112" s="113">
        <f t="shared" si="251"/>
        <v>32</v>
      </c>
      <c r="Q112" s="114">
        <f t="shared" si="252"/>
        <v>0</v>
      </c>
      <c r="R112" s="114">
        <f t="shared" si="253"/>
        <v>32</v>
      </c>
      <c r="S112" s="114">
        <f t="shared" si="254"/>
        <v>0</v>
      </c>
      <c r="T112" s="93">
        <f t="shared" si="255"/>
        <v>1</v>
      </c>
      <c r="U112" t="s">
        <v>0</v>
      </c>
      <c r="V112" s="79"/>
      <c r="W112" s="76"/>
      <c r="X112" s="76"/>
      <c r="Y112" s="76"/>
      <c r="Z112" s="76"/>
      <c r="AA112" s="80"/>
      <c r="AB112" s="79"/>
      <c r="AC112" s="76">
        <v>32</v>
      </c>
      <c r="AD112" s="76"/>
      <c r="AE112" s="76"/>
      <c r="AF112" s="76"/>
      <c r="AG112" s="80"/>
      <c r="AH112" s="79"/>
      <c r="AI112" s="76"/>
      <c r="AJ112" s="76"/>
      <c r="AK112" s="76"/>
      <c r="AL112" s="76"/>
      <c r="AM112" s="80"/>
      <c r="AN112" s="79"/>
      <c r="AO112" s="76"/>
      <c r="AP112" s="76"/>
      <c r="AQ112" s="76"/>
      <c r="AR112" s="76"/>
      <c r="AS112" s="80"/>
      <c r="AT112" s="79"/>
      <c r="AU112" s="76"/>
      <c r="AV112" s="76"/>
      <c r="AW112" s="76"/>
      <c r="AX112" s="76"/>
      <c r="AY112" s="80"/>
      <c r="AZ112" s="79"/>
      <c r="BA112" s="76"/>
      <c r="BB112" s="76"/>
      <c r="BC112" s="76"/>
      <c r="BD112" s="76"/>
      <c r="BE112" s="80"/>
      <c r="BF112" s="79"/>
      <c r="BG112" s="76"/>
      <c r="BH112" s="76"/>
      <c r="BI112" s="76"/>
      <c r="BJ112" s="76"/>
      <c r="BK112" s="80"/>
      <c r="BM112" s="125">
        <f t="shared" si="256"/>
        <v>0</v>
      </c>
      <c r="BN112" s="126">
        <f t="shared" si="257"/>
        <v>32</v>
      </c>
      <c r="BO112" s="126">
        <f t="shared" si="258"/>
        <v>0</v>
      </c>
      <c r="BP112" s="126">
        <f t="shared" si="259"/>
        <v>0</v>
      </c>
      <c r="BQ112" s="126">
        <f>SUM(AT112:AY112)</f>
        <v>0</v>
      </c>
      <c r="BR112" s="126">
        <f t="shared" si="260"/>
        <v>0</v>
      </c>
      <c r="BS112" s="127">
        <f t="shared" si="261"/>
        <v>0</v>
      </c>
      <c r="BT112" s="74"/>
      <c r="BU112" s="125">
        <f t="shared" si="262"/>
        <v>0</v>
      </c>
      <c r="BV112" s="126">
        <f t="shared" si="263"/>
        <v>32</v>
      </c>
      <c r="BW112" s="126">
        <f t="shared" si="264"/>
        <v>0</v>
      </c>
      <c r="BX112" s="126">
        <f t="shared" si="265"/>
        <v>0</v>
      </c>
      <c r="BY112" s="126">
        <f t="shared" si="266"/>
        <v>0</v>
      </c>
      <c r="BZ112" s="126">
        <f t="shared" si="266"/>
        <v>0</v>
      </c>
      <c r="CA112" s="126">
        <f t="shared" si="266"/>
        <v>0</v>
      </c>
    </row>
    <row r="113" spans="1:79">
      <c r="A113" s="147" t="str">
        <f t="shared" si="169"/>
        <v>D</v>
      </c>
      <c r="B113" s="148">
        <f t="shared" si="170"/>
        <v>40000</v>
      </c>
      <c r="C113" s="149" t="s">
        <v>111</v>
      </c>
      <c r="D113" s="150" t="s">
        <v>112</v>
      </c>
      <c r="E113" s="150" t="s">
        <v>0</v>
      </c>
      <c r="F113" s="145" t="s">
        <v>94</v>
      </c>
      <c r="G113" s="150" t="s">
        <v>54</v>
      </c>
      <c r="H113" s="150" t="s">
        <v>0</v>
      </c>
      <c r="I113" s="150" t="s">
        <v>0</v>
      </c>
      <c r="J113" s="151" t="s">
        <v>0</v>
      </c>
      <c r="K113" s="13">
        <v>1</v>
      </c>
      <c r="L113" s="12" t="s">
        <v>67</v>
      </c>
      <c r="M113" s="13">
        <v>25</v>
      </c>
      <c r="N113" s="13">
        <v>0</v>
      </c>
      <c r="O113" s="14">
        <v>25</v>
      </c>
      <c r="P113" s="113">
        <f t="shared" si="251"/>
        <v>1</v>
      </c>
      <c r="Q113" s="114">
        <f t="shared" si="252"/>
        <v>0</v>
      </c>
      <c r="R113" s="114">
        <f t="shared" si="253"/>
        <v>25</v>
      </c>
      <c r="S113" s="114">
        <f t="shared" si="254"/>
        <v>0</v>
      </c>
      <c r="T113" s="93">
        <f t="shared" si="255"/>
        <v>1</v>
      </c>
      <c r="U113" t="s">
        <v>0</v>
      </c>
      <c r="V113" s="79"/>
      <c r="W113" s="76"/>
      <c r="X113" s="76"/>
      <c r="Y113" s="76"/>
      <c r="Z113" s="76"/>
      <c r="AA113" s="80"/>
      <c r="AB113" s="79"/>
      <c r="AC113" s="76"/>
      <c r="AD113" s="76">
        <v>1</v>
      </c>
      <c r="AE113" s="76"/>
      <c r="AF113" s="76"/>
      <c r="AG113" s="80"/>
      <c r="AH113" s="79"/>
      <c r="AI113" s="76"/>
      <c r="AJ113" s="76"/>
      <c r="AK113" s="76"/>
      <c r="AL113" s="76"/>
      <c r="AM113" s="80"/>
      <c r="AN113" s="79"/>
      <c r="AO113" s="76"/>
      <c r="AP113" s="76"/>
      <c r="AQ113" s="76"/>
      <c r="AR113" s="76"/>
      <c r="AS113" s="80"/>
      <c r="AT113" s="79"/>
      <c r="AU113" s="76"/>
      <c r="AV113" s="76"/>
      <c r="AW113" s="76"/>
      <c r="AX113" s="76"/>
      <c r="AY113" s="80"/>
      <c r="AZ113" s="79"/>
      <c r="BA113" s="76"/>
      <c r="BB113" s="76"/>
      <c r="BC113" s="76"/>
      <c r="BD113" s="76"/>
      <c r="BE113" s="80"/>
      <c r="BF113" s="79"/>
      <c r="BG113" s="76"/>
      <c r="BH113" s="76"/>
      <c r="BI113" s="76"/>
      <c r="BJ113" s="76"/>
      <c r="BK113" s="80"/>
      <c r="BM113" s="125">
        <f t="shared" si="256"/>
        <v>0</v>
      </c>
      <c r="BN113" s="126">
        <f t="shared" si="257"/>
        <v>1</v>
      </c>
      <c r="BO113" s="126">
        <f t="shared" si="258"/>
        <v>0</v>
      </c>
      <c r="BP113" s="126">
        <f t="shared" si="259"/>
        <v>0</v>
      </c>
      <c r="BQ113" s="126">
        <f>SUM(AT113:AY113)</f>
        <v>0</v>
      </c>
      <c r="BR113" s="126">
        <f t="shared" si="260"/>
        <v>0</v>
      </c>
      <c r="BS113" s="127">
        <f t="shared" si="261"/>
        <v>0</v>
      </c>
      <c r="BT113" s="74"/>
      <c r="BU113" s="125">
        <f t="shared" si="262"/>
        <v>0</v>
      </c>
      <c r="BV113" s="126">
        <f t="shared" si="263"/>
        <v>25</v>
      </c>
      <c r="BW113" s="126">
        <f t="shared" si="264"/>
        <v>0</v>
      </c>
      <c r="BX113" s="126">
        <f t="shared" si="265"/>
        <v>0</v>
      </c>
      <c r="BY113" s="126">
        <f t="shared" si="266"/>
        <v>0</v>
      </c>
      <c r="BZ113" s="126">
        <f t="shared" si="266"/>
        <v>0</v>
      </c>
      <c r="CA113" s="126">
        <f t="shared" si="266"/>
        <v>0</v>
      </c>
    </row>
    <row r="114" spans="1:79">
      <c r="A114" s="147" t="str">
        <f t="shared" si="169"/>
        <v>D</v>
      </c>
      <c r="B114" s="148">
        <f t="shared" si="170"/>
        <v>40000</v>
      </c>
      <c r="C114" s="149" t="s">
        <v>111</v>
      </c>
      <c r="D114" s="150" t="s">
        <v>112</v>
      </c>
      <c r="E114" s="150" t="s">
        <v>0</v>
      </c>
      <c r="F114" s="145" t="s">
        <v>72</v>
      </c>
      <c r="G114" s="150" t="s">
        <v>54</v>
      </c>
      <c r="H114" s="150" t="s">
        <v>0</v>
      </c>
      <c r="I114" s="150" t="s">
        <v>0</v>
      </c>
      <c r="J114" s="151" t="s">
        <v>0</v>
      </c>
      <c r="K114" s="13">
        <v>13.5</v>
      </c>
      <c r="L114" s="12" t="s">
        <v>67</v>
      </c>
      <c r="M114" s="13">
        <v>10.130000000000001</v>
      </c>
      <c r="N114" s="13">
        <v>0</v>
      </c>
      <c r="O114" s="14">
        <v>10.130000000000001</v>
      </c>
      <c r="P114" s="113">
        <f t="shared" si="251"/>
        <v>13.5</v>
      </c>
      <c r="Q114" s="114">
        <f t="shared" si="252"/>
        <v>0</v>
      </c>
      <c r="R114" s="114">
        <f t="shared" si="253"/>
        <v>10.130000000000001</v>
      </c>
      <c r="S114" s="114">
        <f t="shared" si="254"/>
        <v>0</v>
      </c>
      <c r="T114" s="93">
        <f t="shared" si="255"/>
        <v>1</v>
      </c>
      <c r="U114" t="s">
        <v>0</v>
      </c>
      <c r="V114" s="79"/>
      <c r="W114" s="76"/>
      <c r="X114" s="76"/>
      <c r="Y114" s="76"/>
      <c r="Z114" s="76"/>
      <c r="AA114" s="80"/>
      <c r="AB114" s="79"/>
      <c r="AC114" s="76"/>
      <c r="AD114" s="76"/>
      <c r="AE114" s="76"/>
      <c r="AF114" s="76">
        <v>13.5</v>
      </c>
      <c r="AG114" s="80"/>
      <c r="AH114" s="79"/>
      <c r="AI114" s="76"/>
      <c r="AJ114" s="76"/>
      <c r="AK114" s="76"/>
      <c r="AL114" s="76"/>
      <c r="AM114" s="80"/>
      <c r="AN114" s="79"/>
      <c r="AO114" s="76"/>
      <c r="AP114" s="76"/>
      <c r="AQ114" s="76"/>
      <c r="AR114" s="76"/>
      <c r="AS114" s="80"/>
      <c r="AT114" s="79"/>
      <c r="AU114" s="76"/>
      <c r="AV114" s="76"/>
      <c r="AW114" s="76"/>
      <c r="AX114" s="76"/>
      <c r="AY114" s="80"/>
      <c r="AZ114" s="79"/>
      <c r="BA114" s="76"/>
      <c r="BB114" s="76"/>
      <c r="BC114" s="76"/>
      <c r="BD114" s="76"/>
      <c r="BE114" s="80"/>
      <c r="BF114" s="79"/>
      <c r="BG114" s="76"/>
      <c r="BH114" s="76"/>
      <c r="BI114" s="76"/>
      <c r="BJ114" s="76"/>
      <c r="BK114" s="80"/>
      <c r="BM114" s="125">
        <f t="shared" si="256"/>
        <v>0</v>
      </c>
      <c r="BN114" s="126">
        <f t="shared" si="257"/>
        <v>13.5</v>
      </c>
      <c r="BO114" s="126">
        <f t="shared" si="258"/>
        <v>0</v>
      </c>
      <c r="BP114" s="126">
        <f t="shared" si="259"/>
        <v>0</v>
      </c>
      <c r="BQ114" s="126">
        <f>SUM(AT114:AY114)</f>
        <v>0</v>
      </c>
      <c r="BR114" s="126">
        <f t="shared" si="260"/>
        <v>0</v>
      </c>
      <c r="BS114" s="127">
        <f t="shared" si="261"/>
        <v>0</v>
      </c>
      <c r="BT114" s="74"/>
      <c r="BU114" s="125">
        <f t="shared" si="262"/>
        <v>0</v>
      </c>
      <c r="BV114" s="126">
        <f t="shared" si="263"/>
        <v>10.130000000000001</v>
      </c>
      <c r="BW114" s="126">
        <f t="shared" si="264"/>
        <v>0</v>
      </c>
      <c r="BX114" s="126">
        <f t="shared" si="265"/>
        <v>0</v>
      </c>
      <c r="BY114" s="126">
        <f t="shared" si="266"/>
        <v>0</v>
      </c>
      <c r="BZ114" s="126">
        <f t="shared" si="266"/>
        <v>0</v>
      </c>
      <c r="CA114" s="126">
        <f t="shared" si="266"/>
        <v>0</v>
      </c>
    </row>
    <row r="115" spans="1:79" ht="15.75">
      <c r="A115" s="152" t="str">
        <f t="shared" si="169"/>
        <v>P</v>
      </c>
      <c r="B115" s="153">
        <f t="shared" si="170"/>
        <v>40000</v>
      </c>
      <c r="C115" s="154" t="s">
        <v>114</v>
      </c>
      <c r="D115" s="155" t="s">
        <v>115</v>
      </c>
      <c r="E115" s="155" t="s">
        <v>0</v>
      </c>
      <c r="F115" s="156" t="s">
        <v>116</v>
      </c>
      <c r="G115" s="155" t="s">
        <v>0</v>
      </c>
      <c r="H115" s="155" t="s">
        <v>0</v>
      </c>
      <c r="I115" s="155" t="s">
        <v>0</v>
      </c>
      <c r="J115" s="157" t="s">
        <v>0</v>
      </c>
      <c r="K115" s="9">
        <v>10</v>
      </c>
      <c r="L115" s="8" t="s">
        <v>67</v>
      </c>
      <c r="M115" s="9">
        <v>131.5</v>
      </c>
      <c r="N115" s="9">
        <v>12</v>
      </c>
      <c r="O115" s="10">
        <v>143.5</v>
      </c>
      <c r="P115" s="111"/>
      <c r="Q115" s="112"/>
      <c r="R115" s="112">
        <f>SUMIFS(R116:R$415,$C116:$C$415,$C115)</f>
        <v>123.5</v>
      </c>
      <c r="S115" s="112">
        <f>SUMIFS(S116:S$415,$C116:$C$415,$C115)</f>
        <v>20</v>
      </c>
      <c r="T115" s="92">
        <f>R115/O115</f>
        <v>0.86062717770034847</v>
      </c>
      <c r="V115" s="77"/>
      <c r="W115" s="75"/>
      <c r="X115" s="75"/>
      <c r="Y115" s="75"/>
      <c r="Z115" s="75"/>
      <c r="AA115" s="78"/>
      <c r="AB115" s="77"/>
      <c r="AC115" s="75"/>
      <c r="AD115" s="75"/>
      <c r="AE115" s="75"/>
      <c r="AF115" s="75"/>
      <c r="AG115" s="78"/>
      <c r="AH115" s="77"/>
      <c r="AI115" s="75"/>
      <c r="AJ115" s="75"/>
      <c r="AK115" s="75"/>
      <c r="AL115" s="75"/>
      <c r="AM115" s="78"/>
      <c r="AN115" s="77"/>
      <c r="AO115" s="75"/>
      <c r="AP115" s="75"/>
      <c r="AQ115" s="75"/>
      <c r="AR115" s="75"/>
      <c r="AS115" s="78"/>
      <c r="AT115" s="77"/>
      <c r="AU115" s="75"/>
      <c r="AV115" s="75"/>
      <c r="AW115" s="75"/>
      <c r="AX115" s="75"/>
      <c r="AY115" s="78"/>
      <c r="AZ115" s="77"/>
      <c r="BA115" s="75"/>
      <c r="BB115" s="75"/>
      <c r="BC115" s="75"/>
      <c r="BD115" s="75"/>
      <c r="BE115" s="78"/>
      <c r="BF115" s="77"/>
      <c r="BG115" s="75"/>
      <c r="BH115" s="75"/>
      <c r="BI115" s="75"/>
      <c r="BJ115" s="75"/>
      <c r="BK115" s="78"/>
      <c r="BM115" s="122"/>
      <c r="BN115" s="123"/>
      <c r="BO115" s="123"/>
      <c r="BP115" s="123"/>
      <c r="BQ115" s="123"/>
      <c r="BR115" s="123"/>
      <c r="BS115" s="124"/>
      <c r="BT115" s="74"/>
      <c r="BU115" s="122"/>
      <c r="BV115" s="123"/>
      <c r="BW115" s="123"/>
      <c r="BX115" s="123"/>
      <c r="BY115" s="123"/>
      <c r="BZ115" s="123"/>
      <c r="CA115" s="123"/>
    </row>
    <row r="116" spans="1:79">
      <c r="A116" s="147" t="str">
        <f t="shared" si="169"/>
        <v>D</v>
      </c>
      <c r="B116" s="148">
        <f t="shared" si="170"/>
        <v>40000</v>
      </c>
      <c r="C116" s="149" t="s">
        <v>114</v>
      </c>
      <c r="D116" s="150" t="s">
        <v>115</v>
      </c>
      <c r="E116" s="150" t="s">
        <v>0</v>
      </c>
      <c r="F116" s="145" t="s">
        <v>68</v>
      </c>
      <c r="G116" s="150" t="s">
        <v>0</v>
      </c>
      <c r="H116" s="150" t="s">
        <v>0</v>
      </c>
      <c r="I116" s="150" t="s">
        <v>0</v>
      </c>
      <c r="J116" s="151" t="s">
        <v>0</v>
      </c>
      <c r="K116" s="13">
        <v>1</v>
      </c>
      <c r="L116" s="12" t="s">
        <v>32</v>
      </c>
      <c r="M116" s="13">
        <v>4</v>
      </c>
      <c r="N116" s="13">
        <v>0</v>
      </c>
      <c r="O116" s="14">
        <v>4</v>
      </c>
      <c r="P116" s="113">
        <f t="shared" ref="P116:P128" si="267">SUM(BM116:BS116)</f>
        <v>1</v>
      </c>
      <c r="Q116" s="114">
        <f t="shared" ref="Q116:Q128" si="268">K116-P116</f>
        <v>0</v>
      </c>
      <c r="R116" s="114">
        <f t="shared" ref="R116:R128" si="269">SUM(BU116:CA116)</f>
        <v>4</v>
      </c>
      <c r="S116" s="114">
        <f t="shared" ref="S116:S128" si="270">O116-R116</f>
        <v>0</v>
      </c>
      <c r="T116" s="93">
        <f t="shared" ref="T116:T128" si="271">R116/O116</f>
        <v>1</v>
      </c>
      <c r="U116" t="s">
        <v>0</v>
      </c>
      <c r="V116" s="79"/>
      <c r="W116" s="76"/>
      <c r="X116" s="76">
        <v>1</v>
      </c>
      <c r="Y116" s="76"/>
      <c r="Z116" s="76"/>
      <c r="AA116" s="80"/>
      <c r="AB116" s="79"/>
      <c r="AC116" s="76"/>
      <c r="AD116" s="76"/>
      <c r="AE116" s="76"/>
      <c r="AF116" s="76"/>
      <c r="AG116" s="80"/>
      <c r="AH116" s="79"/>
      <c r="AI116" s="76"/>
      <c r="AJ116" s="76"/>
      <c r="AK116" s="76"/>
      <c r="AL116" s="76"/>
      <c r="AM116" s="80"/>
      <c r="AN116" s="79"/>
      <c r="AO116" s="76"/>
      <c r="AP116" s="76"/>
      <c r="AQ116" s="76"/>
      <c r="AR116" s="76"/>
      <c r="AS116" s="80"/>
      <c r="AT116" s="79"/>
      <c r="AU116" s="76"/>
      <c r="AV116" s="76"/>
      <c r="AW116" s="76"/>
      <c r="AX116" s="76"/>
      <c r="AY116" s="80"/>
      <c r="AZ116" s="79"/>
      <c r="BA116" s="76"/>
      <c r="BB116" s="76"/>
      <c r="BC116" s="76"/>
      <c r="BD116" s="76"/>
      <c r="BE116" s="80"/>
      <c r="BF116" s="79"/>
      <c r="BG116" s="76"/>
      <c r="BH116" s="76"/>
      <c r="BI116" s="76"/>
      <c r="BJ116" s="76"/>
      <c r="BK116" s="80"/>
      <c r="BM116" s="125">
        <f t="shared" ref="BM116:BM128" si="272">SUM(V116:AA116)</f>
        <v>1</v>
      </c>
      <c r="BN116" s="126">
        <f t="shared" ref="BN116:BN128" si="273">SUM(AB116:AG116)</f>
        <v>0</v>
      </c>
      <c r="BO116" s="126">
        <f t="shared" ref="BO116:BO128" si="274">SUM(AH116:AM116)</f>
        <v>0</v>
      </c>
      <c r="BP116" s="126">
        <f t="shared" ref="BP116:BP128" si="275">SUM(AN116:AS116)</f>
        <v>0</v>
      </c>
      <c r="BQ116" s="126">
        <f>SUM(AT116:AY116)</f>
        <v>0</v>
      </c>
      <c r="BR116" s="126">
        <f t="shared" ref="BR116:BS128" si="276">SUM(AZ116:BE116)</f>
        <v>0</v>
      </c>
      <c r="BS116" s="127">
        <f t="shared" ref="BS116:BS128" si="277">SUM(BF116:BK116)</f>
        <v>0</v>
      </c>
      <c r="BT116" s="74"/>
      <c r="BU116" s="125">
        <f t="shared" ref="BU116:BU128" si="278">(BM116/$K116)*$O116</f>
        <v>4</v>
      </c>
      <c r="BV116" s="126">
        <f t="shared" ref="BV116:BV128" si="279">(BN116/$K116)*$O116</f>
        <v>0</v>
      </c>
      <c r="BW116" s="126">
        <f t="shared" ref="BW116:BW128" si="280">(BO116/$K116)*$O116</f>
        <v>0</v>
      </c>
      <c r="BX116" s="126">
        <f t="shared" ref="BX116:BX128" si="281">(BP116/$K116)*$O116</f>
        <v>0</v>
      </c>
      <c r="BY116" s="126">
        <f t="shared" ref="BY116:CA128" si="282">(BQ116/$K116)*$O116</f>
        <v>0</v>
      </c>
      <c r="BZ116" s="126">
        <f t="shared" si="282"/>
        <v>0</v>
      </c>
      <c r="CA116" s="126">
        <f t="shared" si="282"/>
        <v>0</v>
      </c>
    </row>
    <row r="117" spans="1:79">
      <c r="A117" s="147" t="str">
        <f t="shared" si="169"/>
        <v>D</v>
      </c>
      <c r="B117" s="148">
        <f t="shared" si="170"/>
        <v>40000</v>
      </c>
      <c r="C117" s="149" t="s">
        <v>114</v>
      </c>
      <c r="D117" s="150" t="s">
        <v>115</v>
      </c>
      <c r="E117" s="150" t="s">
        <v>0</v>
      </c>
      <c r="F117" s="145" t="s">
        <v>69</v>
      </c>
      <c r="G117" s="150" t="s">
        <v>0</v>
      </c>
      <c r="H117" s="150" t="s">
        <v>0</v>
      </c>
      <c r="I117" s="150" t="s">
        <v>0</v>
      </c>
      <c r="J117" s="151" t="s">
        <v>0</v>
      </c>
      <c r="K117" s="13">
        <v>4</v>
      </c>
      <c r="L117" s="12" t="s">
        <v>32</v>
      </c>
      <c r="M117" s="13">
        <v>8</v>
      </c>
      <c r="N117" s="13">
        <v>0</v>
      </c>
      <c r="O117" s="14">
        <v>8</v>
      </c>
      <c r="P117" s="113">
        <f t="shared" si="267"/>
        <v>4</v>
      </c>
      <c r="Q117" s="114">
        <f t="shared" si="268"/>
        <v>0</v>
      </c>
      <c r="R117" s="114">
        <f t="shared" si="269"/>
        <v>8</v>
      </c>
      <c r="S117" s="114">
        <f t="shared" si="270"/>
        <v>0</v>
      </c>
      <c r="T117" s="93">
        <f t="shared" si="271"/>
        <v>1</v>
      </c>
      <c r="U117" t="s">
        <v>0</v>
      </c>
      <c r="V117" s="79"/>
      <c r="W117" s="76"/>
      <c r="X117" s="76"/>
      <c r="Y117" s="76"/>
      <c r="Z117" s="76"/>
      <c r="AA117" s="80"/>
      <c r="AB117" s="79"/>
      <c r="AC117" s="76"/>
      <c r="AD117" s="76"/>
      <c r="AE117" s="76"/>
      <c r="AF117" s="76"/>
      <c r="AG117" s="80">
        <v>2</v>
      </c>
      <c r="AH117" s="79">
        <v>2</v>
      </c>
      <c r="AI117" s="76"/>
      <c r="AJ117" s="76"/>
      <c r="AK117" s="76"/>
      <c r="AL117" s="76"/>
      <c r="AM117" s="80"/>
      <c r="AN117" s="79"/>
      <c r="AO117" s="76"/>
      <c r="AP117" s="76"/>
      <c r="AQ117" s="76"/>
      <c r="AR117" s="76"/>
      <c r="AS117" s="80"/>
      <c r="AT117" s="79"/>
      <c r="AU117" s="76"/>
      <c r="AV117" s="76"/>
      <c r="AW117" s="76"/>
      <c r="AX117" s="76"/>
      <c r="AY117" s="80"/>
      <c r="AZ117" s="79"/>
      <c r="BA117" s="76"/>
      <c r="BB117" s="76"/>
      <c r="BC117" s="76"/>
      <c r="BD117" s="76"/>
      <c r="BE117" s="80"/>
      <c r="BF117" s="79"/>
      <c r="BG117" s="76"/>
      <c r="BH117" s="76"/>
      <c r="BI117" s="76"/>
      <c r="BJ117" s="76"/>
      <c r="BK117" s="80"/>
      <c r="BM117" s="125">
        <f t="shared" si="272"/>
        <v>0</v>
      </c>
      <c r="BN117" s="126">
        <f t="shared" si="273"/>
        <v>2</v>
      </c>
      <c r="BO117" s="126">
        <f t="shared" si="274"/>
        <v>2</v>
      </c>
      <c r="BP117" s="126">
        <f t="shared" si="275"/>
        <v>0</v>
      </c>
      <c r="BQ117" s="126">
        <f>SUM(AT117:AY117)</f>
        <v>0</v>
      </c>
      <c r="BR117" s="126">
        <f t="shared" si="276"/>
        <v>0</v>
      </c>
      <c r="BS117" s="127">
        <f t="shared" si="277"/>
        <v>0</v>
      </c>
      <c r="BT117" s="74"/>
      <c r="BU117" s="125">
        <f t="shared" si="278"/>
        <v>0</v>
      </c>
      <c r="BV117" s="126">
        <f t="shared" si="279"/>
        <v>4</v>
      </c>
      <c r="BW117" s="126">
        <f t="shared" si="280"/>
        <v>4</v>
      </c>
      <c r="BX117" s="126">
        <f t="shared" si="281"/>
        <v>0</v>
      </c>
      <c r="BY117" s="126">
        <f t="shared" si="282"/>
        <v>0</v>
      </c>
      <c r="BZ117" s="126">
        <f t="shared" si="282"/>
        <v>0</v>
      </c>
      <c r="CA117" s="126">
        <f t="shared" si="282"/>
        <v>0</v>
      </c>
    </row>
    <row r="118" spans="1:79">
      <c r="A118" s="147" t="str">
        <f t="shared" si="169"/>
        <v>D</v>
      </c>
      <c r="B118" s="148">
        <f t="shared" si="170"/>
        <v>40000</v>
      </c>
      <c r="C118" s="149" t="s">
        <v>114</v>
      </c>
      <c r="D118" s="150" t="s">
        <v>115</v>
      </c>
      <c r="E118" s="150" t="s">
        <v>0</v>
      </c>
      <c r="F118" s="145" t="s">
        <v>70</v>
      </c>
      <c r="G118" s="150" t="s">
        <v>0</v>
      </c>
      <c r="H118" s="150" t="s">
        <v>0</v>
      </c>
      <c r="I118" s="150" t="s">
        <v>0</v>
      </c>
      <c r="J118" s="151" t="s">
        <v>0</v>
      </c>
      <c r="K118" s="13">
        <v>4</v>
      </c>
      <c r="L118" s="12" t="s">
        <v>32</v>
      </c>
      <c r="M118" s="13">
        <v>6</v>
      </c>
      <c r="N118" s="13">
        <v>0</v>
      </c>
      <c r="O118" s="14">
        <v>6</v>
      </c>
      <c r="P118" s="113">
        <f t="shared" si="267"/>
        <v>4</v>
      </c>
      <c r="Q118" s="114">
        <f t="shared" si="268"/>
        <v>0</v>
      </c>
      <c r="R118" s="114">
        <f t="shared" si="269"/>
        <v>6</v>
      </c>
      <c r="S118" s="114">
        <f t="shared" si="270"/>
        <v>0</v>
      </c>
      <c r="T118" s="93">
        <f t="shared" si="271"/>
        <v>1</v>
      </c>
      <c r="U118" t="s">
        <v>0</v>
      </c>
      <c r="V118" s="79"/>
      <c r="W118" s="76"/>
      <c r="X118" s="76"/>
      <c r="Y118" s="76">
        <v>4</v>
      </c>
      <c r="Z118" s="76"/>
      <c r="AA118" s="80"/>
      <c r="AB118" s="79"/>
      <c r="AC118" s="76"/>
      <c r="AD118" s="76"/>
      <c r="AE118" s="76"/>
      <c r="AF118" s="76"/>
      <c r="AG118" s="80"/>
      <c r="AH118" s="79"/>
      <c r="AI118" s="76"/>
      <c r="AJ118" s="76"/>
      <c r="AK118" s="76"/>
      <c r="AL118" s="76"/>
      <c r="AM118" s="80"/>
      <c r="AN118" s="79"/>
      <c r="AO118" s="76"/>
      <c r="AP118" s="76"/>
      <c r="AQ118" s="76"/>
      <c r="AR118" s="76"/>
      <c r="AS118" s="80"/>
      <c r="AT118" s="79"/>
      <c r="AU118" s="76"/>
      <c r="AV118" s="76"/>
      <c r="AW118" s="76"/>
      <c r="AX118" s="76"/>
      <c r="AY118" s="80"/>
      <c r="AZ118" s="79"/>
      <c r="BA118" s="76"/>
      <c r="BB118" s="76"/>
      <c r="BC118" s="76"/>
      <c r="BD118" s="76"/>
      <c r="BE118" s="80"/>
      <c r="BF118" s="79"/>
      <c r="BG118" s="76"/>
      <c r="BH118" s="76"/>
      <c r="BI118" s="76"/>
      <c r="BJ118" s="76"/>
      <c r="BK118" s="80"/>
      <c r="BM118" s="125">
        <f t="shared" si="272"/>
        <v>4</v>
      </c>
      <c r="BN118" s="126">
        <f t="shared" si="273"/>
        <v>0</v>
      </c>
      <c r="BO118" s="126">
        <f t="shared" si="274"/>
        <v>0</v>
      </c>
      <c r="BP118" s="126">
        <f t="shared" si="275"/>
        <v>0</v>
      </c>
      <c r="BQ118" s="126">
        <f>SUM(AT118:AY118)</f>
        <v>0</v>
      </c>
      <c r="BR118" s="126">
        <f t="shared" si="276"/>
        <v>0</v>
      </c>
      <c r="BS118" s="127">
        <f t="shared" si="277"/>
        <v>0</v>
      </c>
      <c r="BT118" s="74"/>
      <c r="BU118" s="125">
        <f t="shared" si="278"/>
        <v>6</v>
      </c>
      <c r="BV118" s="126">
        <f t="shared" si="279"/>
        <v>0</v>
      </c>
      <c r="BW118" s="126">
        <f t="shared" si="280"/>
        <v>0</v>
      </c>
      <c r="BX118" s="126">
        <f t="shared" si="281"/>
        <v>0</v>
      </c>
      <c r="BY118" s="126">
        <f t="shared" si="282"/>
        <v>0</v>
      </c>
      <c r="BZ118" s="126">
        <f t="shared" si="282"/>
        <v>0</v>
      </c>
      <c r="CA118" s="126">
        <f t="shared" si="282"/>
        <v>0</v>
      </c>
    </row>
    <row r="119" spans="1:79">
      <c r="A119" s="147" t="str">
        <f t="shared" si="169"/>
        <v>D</v>
      </c>
      <c r="B119" s="148">
        <f t="shared" si="170"/>
        <v>40000</v>
      </c>
      <c r="C119" s="149" t="s">
        <v>114</v>
      </c>
      <c r="D119" s="150" t="s">
        <v>115</v>
      </c>
      <c r="E119" s="150" t="s">
        <v>0</v>
      </c>
      <c r="F119" s="145" t="s">
        <v>71</v>
      </c>
      <c r="G119" s="150" t="s">
        <v>0</v>
      </c>
      <c r="H119" s="150" t="s">
        <v>0</v>
      </c>
      <c r="I119" s="150" t="s">
        <v>0</v>
      </c>
      <c r="J119" s="151" t="s">
        <v>0</v>
      </c>
      <c r="K119" s="13">
        <v>4</v>
      </c>
      <c r="L119" s="12" t="s">
        <v>32</v>
      </c>
      <c r="M119" s="13">
        <v>4</v>
      </c>
      <c r="N119" s="13">
        <v>0</v>
      </c>
      <c r="O119" s="14">
        <v>4</v>
      </c>
      <c r="P119" s="113">
        <f t="shared" si="267"/>
        <v>4</v>
      </c>
      <c r="Q119" s="114">
        <f t="shared" si="268"/>
        <v>0</v>
      </c>
      <c r="R119" s="114">
        <f t="shared" si="269"/>
        <v>4</v>
      </c>
      <c r="S119" s="114">
        <f t="shared" si="270"/>
        <v>0</v>
      </c>
      <c r="T119" s="93">
        <f t="shared" si="271"/>
        <v>1</v>
      </c>
      <c r="U119" t="s">
        <v>0</v>
      </c>
      <c r="V119" s="79"/>
      <c r="W119" s="76"/>
      <c r="X119" s="76"/>
      <c r="Y119" s="76"/>
      <c r="Z119" s="76"/>
      <c r="AA119" s="80"/>
      <c r="AB119" s="79"/>
      <c r="AC119" s="76"/>
      <c r="AD119" s="76"/>
      <c r="AE119" s="76"/>
      <c r="AF119" s="76"/>
      <c r="AG119" s="80">
        <v>4</v>
      </c>
      <c r="AH119" s="79"/>
      <c r="AI119" s="76"/>
      <c r="AJ119" s="76"/>
      <c r="AK119" s="76"/>
      <c r="AL119" s="76"/>
      <c r="AM119" s="80"/>
      <c r="AN119" s="79"/>
      <c r="AO119" s="76"/>
      <c r="AP119" s="76"/>
      <c r="AQ119" s="76"/>
      <c r="AR119" s="76"/>
      <c r="AS119" s="80"/>
      <c r="AT119" s="79"/>
      <c r="AU119" s="76"/>
      <c r="AV119" s="76"/>
      <c r="AW119" s="76"/>
      <c r="AX119" s="76"/>
      <c r="AY119" s="80"/>
      <c r="AZ119" s="79"/>
      <c r="BA119" s="76"/>
      <c r="BB119" s="76"/>
      <c r="BC119" s="76"/>
      <c r="BD119" s="76"/>
      <c r="BE119" s="80"/>
      <c r="BF119" s="79"/>
      <c r="BG119" s="76"/>
      <c r="BH119" s="76"/>
      <c r="BI119" s="76"/>
      <c r="BJ119" s="76"/>
      <c r="BK119" s="80"/>
      <c r="BM119" s="125">
        <f t="shared" si="272"/>
        <v>0</v>
      </c>
      <c r="BN119" s="126">
        <f t="shared" si="273"/>
        <v>4</v>
      </c>
      <c r="BO119" s="126">
        <f t="shared" si="274"/>
        <v>0</v>
      </c>
      <c r="BP119" s="126">
        <f t="shared" si="275"/>
        <v>0</v>
      </c>
      <c r="BQ119" s="126">
        <f>SUM(AT119:AY119)</f>
        <v>0</v>
      </c>
      <c r="BR119" s="126">
        <f t="shared" si="276"/>
        <v>0</v>
      </c>
      <c r="BS119" s="127">
        <f t="shared" si="277"/>
        <v>0</v>
      </c>
      <c r="BT119" s="74"/>
      <c r="BU119" s="125">
        <f t="shared" si="278"/>
        <v>0</v>
      </c>
      <c r="BV119" s="126">
        <f t="shared" si="279"/>
        <v>4</v>
      </c>
      <c r="BW119" s="126">
        <f t="shared" si="280"/>
        <v>0</v>
      </c>
      <c r="BX119" s="126">
        <f t="shared" si="281"/>
        <v>0</v>
      </c>
      <c r="BY119" s="126">
        <f t="shared" si="282"/>
        <v>0</v>
      </c>
      <c r="BZ119" s="126">
        <f t="shared" si="282"/>
        <v>0</v>
      </c>
      <c r="CA119" s="126">
        <f t="shared" si="282"/>
        <v>0</v>
      </c>
    </row>
    <row r="120" spans="1:79">
      <c r="A120" s="147" t="str">
        <f t="shared" si="169"/>
        <v>D</v>
      </c>
      <c r="B120" s="148">
        <f t="shared" si="170"/>
        <v>40000</v>
      </c>
      <c r="C120" s="149" t="s">
        <v>114</v>
      </c>
      <c r="D120" s="150" t="s">
        <v>115</v>
      </c>
      <c r="E120" s="150" t="s">
        <v>0</v>
      </c>
      <c r="F120" s="145" t="s">
        <v>72</v>
      </c>
      <c r="G120" s="150" t="s">
        <v>0</v>
      </c>
      <c r="H120" s="150" t="s">
        <v>0</v>
      </c>
      <c r="I120" s="150" t="s">
        <v>0</v>
      </c>
      <c r="J120" s="151" t="s">
        <v>0</v>
      </c>
      <c r="K120" s="13">
        <v>10</v>
      </c>
      <c r="L120" s="12" t="s">
        <v>67</v>
      </c>
      <c r="M120" s="13">
        <v>7.5</v>
      </c>
      <c r="N120" s="13">
        <v>0</v>
      </c>
      <c r="O120" s="14">
        <v>7.5</v>
      </c>
      <c r="P120" s="113">
        <f t="shared" si="267"/>
        <v>10</v>
      </c>
      <c r="Q120" s="114">
        <f t="shared" si="268"/>
        <v>0</v>
      </c>
      <c r="R120" s="114">
        <f t="shared" si="269"/>
        <v>7.5</v>
      </c>
      <c r="S120" s="114">
        <f t="shared" si="270"/>
        <v>0</v>
      </c>
      <c r="T120" s="93">
        <f t="shared" si="271"/>
        <v>1</v>
      </c>
      <c r="U120" t="s">
        <v>0</v>
      </c>
      <c r="V120" s="79"/>
      <c r="W120" s="76"/>
      <c r="X120" s="76"/>
      <c r="Y120" s="76"/>
      <c r="Z120" s="76"/>
      <c r="AA120" s="80"/>
      <c r="AB120" s="79"/>
      <c r="AC120" s="76"/>
      <c r="AD120" s="76"/>
      <c r="AE120" s="76"/>
      <c r="AF120" s="76"/>
      <c r="AG120" s="80"/>
      <c r="AH120" s="79"/>
      <c r="AI120" s="76">
        <v>10</v>
      </c>
      <c r="AJ120" s="76"/>
      <c r="AK120" s="76"/>
      <c r="AL120" s="76"/>
      <c r="AM120" s="80"/>
      <c r="AN120" s="79"/>
      <c r="AO120" s="76"/>
      <c r="AP120" s="76"/>
      <c r="AQ120" s="76"/>
      <c r="AR120" s="76"/>
      <c r="AS120" s="80"/>
      <c r="AT120" s="79"/>
      <c r="AU120" s="76"/>
      <c r="AV120" s="76"/>
      <c r="AW120" s="76"/>
      <c r="AX120" s="76"/>
      <c r="AY120" s="80"/>
      <c r="AZ120" s="79"/>
      <c r="BA120" s="76"/>
      <c r="BB120" s="76"/>
      <c r="BC120" s="76"/>
      <c r="BD120" s="76"/>
      <c r="BE120" s="80"/>
      <c r="BF120" s="79"/>
      <c r="BG120" s="76"/>
      <c r="BH120" s="76"/>
      <c r="BI120" s="76"/>
      <c r="BJ120" s="76"/>
      <c r="BK120" s="80"/>
      <c r="BM120" s="125">
        <f t="shared" si="272"/>
        <v>0</v>
      </c>
      <c r="BN120" s="126">
        <f t="shared" si="273"/>
        <v>0</v>
      </c>
      <c r="BO120" s="126">
        <f t="shared" si="274"/>
        <v>10</v>
      </c>
      <c r="BP120" s="126">
        <f t="shared" si="275"/>
        <v>0</v>
      </c>
      <c r="BQ120" s="126">
        <f>SUM(AT120:AY120)</f>
        <v>0</v>
      </c>
      <c r="BR120" s="126">
        <f t="shared" si="276"/>
        <v>0</v>
      </c>
      <c r="BS120" s="127">
        <f t="shared" si="277"/>
        <v>0</v>
      </c>
      <c r="BT120" s="74"/>
      <c r="BU120" s="125">
        <f t="shared" si="278"/>
        <v>0</v>
      </c>
      <c r="BV120" s="126">
        <f t="shared" si="279"/>
        <v>0</v>
      </c>
      <c r="BW120" s="126">
        <f t="shared" si="280"/>
        <v>7.5</v>
      </c>
      <c r="BX120" s="126">
        <f t="shared" si="281"/>
        <v>0</v>
      </c>
      <c r="BY120" s="126">
        <f t="shared" si="282"/>
        <v>0</v>
      </c>
      <c r="BZ120" s="126">
        <f t="shared" si="282"/>
        <v>0</v>
      </c>
      <c r="CA120" s="126">
        <f t="shared" si="282"/>
        <v>0</v>
      </c>
    </row>
    <row r="121" spans="1:79">
      <c r="A121" s="147" t="str">
        <f t="shared" si="169"/>
        <v>D</v>
      </c>
      <c r="B121" s="148">
        <f t="shared" si="170"/>
        <v>40000</v>
      </c>
      <c r="C121" s="149" t="s">
        <v>114</v>
      </c>
      <c r="D121" s="150" t="s">
        <v>115</v>
      </c>
      <c r="E121" s="150" t="s">
        <v>0</v>
      </c>
      <c r="F121" s="145" t="s">
        <v>78</v>
      </c>
      <c r="G121" s="150" t="s">
        <v>0</v>
      </c>
      <c r="H121" s="150" t="s">
        <v>0</v>
      </c>
      <c r="I121" s="150" t="s">
        <v>0</v>
      </c>
      <c r="J121" s="151" t="s">
        <v>0</v>
      </c>
      <c r="K121" s="13">
        <v>2</v>
      </c>
      <c r="L121" s="12" t="s">
        <v>61</v>
      </c>
      <c r="M121" s="13">
        <v>8</v>
      </c>
      <c r="N121" s="13">
        <v>0</v>
      </c>
      <c r="O121" s="14">
        <v>8</v>
      </c>
      <c r="P121" s="113">
        <f t="shared" si="267"/>
        <v>2</v>
      </c>
      <c r="Q121" s="114">
        <f t="shared" si="268"/>
        <v>0</v>
      </c>
      <c r="R121" s="114">
        <f t="shared" si="269"/>
        <v>8</v>
      </c>
      <c r="S121" s="114">
        <f t="shared" si="270"/>
        <v>0</v>
      </c>
      <c r="T121" s="93">
        <f t="shared" si="271"/>
        <v>1</v>
      </c>
      <c r="U121" t="s">
        <v>0</v>
      </c>
      <c r="V121" s="79"/>
      <c r="W121" s="76"/>
      <c r="X121" s="76"/>
      <c r="Y121" s="76"/>
      <c r="Z121" s="76"/>
      <c r="AA121" s="80"/>
      <c r="AB121" s="79"/>
      <c r="AC121" s="76"/>
      <c r="AD121" s="76"/>
      <c r="AE121" s="76"/>
      <c r="AF121" s="76"/>
      <c r="AG121" s="80">
        <v>2</v>
      </c>
      <c r="AH121" s="79"/>
      <c r="AI121" s="76"/>
      <c r="AJ121" s="76"/>
      <c r="AK121" s="76"/>
      <c r="AL121" s="76"/>
      <c r="AM121" s="80"/>
      <c r="AN121" s="79"/>
      <c r="AO121" s="76"/>
      <c r="AP121" s="76"/>
      <c r="AQ121" s="76"/>
      <c r="AR121" s="76"/>
      <c r="AS121" s="80"/>
      <c r="AT121" s="79"/>
      <c r="AU121" s="76"/>
      <c r="AV121" s="76"/>
      <c r="AW121" s="76"/>
      <c r="AX121" s="76"/>
      <c r="AY121" s="80"/>
      <c r="AZ121" s="79"/>
      <c r="BA121" s="76"/>
      <c r="BB121" s="76"/>
      <c r="BC121" s="76"/>
      <c r="BD121" s="76"/>
      <c r="BE121" s="80"/>
      <c r="BF121" s="79"/>
      <c r="BG121" s="76"/>
      <c r="BH121" s="76"/>
      <c r="BI121" s="76"/>
      <c r="BJ121" s="76"/>
      <c r="BK121" s="80"/>
      <c r="BM121" s="125">
        <f t="shared" si="272"/>
        <v>0</v>
      </c>
      <c r="BN121" s="126">
        <f t="shared" si="273"/>
        <v>2</v>
      </c>
      <c r="BO121" s="126">
        <f t="shared" si="274"/>
        <v>0</v>
      </c>
      <c r="BP121" s="126">
        <f t="shared" si="275"/>
        <v>0</v>
      </c>
      <c r="BQ121" s="126">
        <f>SUM(AT121:AY121)</f>
        <v>0</v>
      </c>
      <c r="BR121" s="126">
        <f t="shared" si="276"/>
        <v>0</v>
      </c>
      <c r="BS121" s="127">
        <f t="shared" si="277"/>
        <v>0</v>
      </c>
      <c r="BT121" s="74"/>
      <c r="BU121" s="125">
        <f t="shared" si="278"/>
        <v>0</v>
      </c>
      <c r="BV121" s="126">
        <f t="shared" si="279"/>
        <v>8</v>
      </c>
      <c r="BW121" s="126">
        <f t="shared" si="280"/>
        <v>0</v>
      </c>
      <c r="BX121" s="126">
        <f t="shared" si="281"/>
        <v>0</v>
      </c>
      <c r="BY121" s="126">
        <f t="shared" si="282"/>
        <v>0</v>
      </c>
      <c r="BZ121" s="126">
        <f t="shared" si="282"/>
        <v>0</v>
      </c>
      <c r="CA121" s="126">
        <f t="shared" si="282"/>
        <v>0</v>
      </c>
    </row>
    <row r="122" spans="1:79">
      <c r="A122" s="147" t="str">
        <f t="shared" si="169"/>
        <v>D</v>
      </c>
      <c r="B122" s="148">
        <f t="shared" si="170"/>
        <v>40000</v>
      </c>
      <c r="C122" s="149" t="s">
        <v>114</v>
      </c>
      <c r="D122" s="150" t="s">
        <v>115</v>
      </c>
      <c r="E122" s="150" t="s">
        <v>0</v>
      </c>
      <c r="F122" s="145" t="s">
        <v>117</v>
      </c>
      <c r="G122" s="150" t="s">
        <v>0</v>
      </c>
      <c r="H122" s="150" t="s">
        <v>0</v>
      </c>
      <c r="I122" s="150" t="s">
        <v>0</v>
      </c>
      <c r="J122" s="151" t="s">
        <v>0</v>
      </c>
      <c r="K122" s="13">
        <v>1</v>
      </c>
      <c r="L122" s="12" t="s">
        <v>61</v>
      </c>
      <c r="M122" s="13">
        <v>2</v>
      </c>
      <c r="N122" s="13">
        <v>0</v>
      </c>
      <c r="O122" s="14">
        <v>2</v>
      </c>
      <c r="P122" s="113">
        <f t="shared" si="267"/>
        <v>1</v>
      </c>
      <c r="Q122" s="114">
        <f t="shared" si="268"/>
        <v>0</v>
      </c>
      <c r="R122" s="114">
        <f t="shared" si="269"/>
        <v>2</v>
      </c>
      <c r="S122" s="114">
        <f t="shared" si="270"/>
        <v>0</v>
      </c>
      <c r="T122" s="93">
        <f t="shared" si="271"/>
        <v>1</v>
      </c>
      <c r="U122" t="s">
        <v>0</v>
      </c>
      <c r="V122" s="79"/>
      <c r="W122" s="76"/>
      <c r="X122" s="76"/>
      <c r="Y122" s="76"/>
      <c r="Z122" s="76"/>
      <c r="AA122" s="80"/>
      <c r="AB122" s="79"/>
      <c r="AC122" s="76"/>
      <c r="AD122" s="76">
        <v>1</v>
      </c>
      <c r="AE122" s="76"/>
      <c r="AF122" s="76"/>
      <c r="AG122" s="80"/>
      <c r="AH122" s="79"/>
      <c r="AI122" s="76"/>
      <c r="AJ122" s="76"/>
      <c r="AK122" s="76"/>
      <c r="AL122" s="76"/>
      <c r="AM122" s="80"/>
      <c r="AN122" s="79"/>
      <c r="AO122" s="76"/>
      <c r="AP122" s="76"/>
      <c r="AQ122" s="76"/>
      <c r="AR122" s="76"/>
      <c r="AS122" s="80"/>
      <c r="AT122" s="79"/>
      <c r="AU122" s="76"/>
      <c r="AV122" s="76"/>
      <c r="AW122" s="76"/>
      <c r="AX122" s="76"/>
      <c r="AY122" s="80"/>
      <c r="AZ122" s="79"/>
      <c r="BA122" s="76"/>
      <c r="BB122" s="76"/>
      <c r="BC122" s="76"/>
      <c r="BD122" s="76"/>
      <c r="BE122" s="80"/>
      <c r="BF122" s="79"/>
      <c r="BG122" s="76"/>
      <c r="BH122" s="76"/>
      <c r="BI122" s="76"/>
      <c r="BJ122" s="76"/>
      <c r="BK122" s="80"/>
      <c r="BM122" s="125">
        <f t="shared" si="272"/>
        <v>0</v>
      </c>
      <c r="BN122" s="126">
        <f t="shared" si="273"/>
        <v>1</v>
      </c>
      <c r="BO122" s="126">
        <f t="shared" si="274"/>
        <v>0</v>
      </c>
      <c r="BP122" s="126">
        <f t="shared" si="275"/>
        <v>0</v>
      </c>
      <c r="BQ122" s="126">
        <f>SUM(AT122:AY122)</f>
        <v>0</v>
      </c>
      <c r="BR122" s="126">
        <f t="shared" si="276"/>
        <v>0</v>
      </c>
      <c r="BS122" s="127">
        <f t="shared" si="277"/>
        <v>0</v>
      </c>
      <c r="BT122" s="74"/>
      <c r="BU122" s="125">
        <f t="shared" si="278"/>
        <v>0</v>
      </c>
      <c r="BV122" s="126">
        <f t="shared" si="279"/>
        <v>2</v>
      </c>
      <c r="BW122" s="126">
        <f t="shared" si="280"/>
        <v>0</v>
      </c>
      <c r="BX122" s="126">
        <f t="shared" si="281"/>
        <v>0</v>
      </c>
      <c r="BY122" s="126">
        <f t="shared" si="282"/>
        <v>0</v>
      </c>
      <c r="BZ122" s="126">
        <f t="shared" si="282"/>
        <v>0</v>
      </c>
      <c r="CA122" s="126">
        <f t="shared" si="282"/>
        <v>0</v>
      </c>
    </row>
    <row r="123" spans="1:79">
      <c r="A123" s="147" t="str">
        <f t="shared" si="169"/>
        <v>D</v>
      </c>
      <c r="B123" s="148">
        <f t="shared" si="170"/>
        <v>40000</v>
      </c>
      <c r="C123" s="149" t="s">
        <v>114</v>
      </c>
      <c r="D123" s="150" t="s">
        <v>115</v>
      </c>
      <c r="E123" s="150" t="s">
        <v>0</v>
      </c>
      <c r="F123" s="145" t="s">
        <v>118</v>
      </c>
      <c r="G123" s="150" t="s">
        <v>0</v>
      </c>
      <c r="H123" s="150" t="s">
        <v>0</v>
      </c>
      <c r="I123" s="150" t="s">
        <v>0</v>
      </c>
      <c r="J123" s="151" t="s">
        <v>0</v>
      </c>
      <c r="K123" s="13">
        <v>1</v>
      </c>
      <c r="L123" s="12" t="s">
        <v>61</v>
      </c>
      <c r="M123" s="13">
        <v>30</v>
      </c>
      <c r="N123" s="13">
        <v>0</v>
      </c>
      <c r="O123" s="14">
        <v>30</v>
      </c>
      <c r="P123" s="113">
        <f t="shared" si="267"/>
        <v>0.5</v>
      </c>
      <c r="Q123" s="114">
        <f t="shared" si="268"/>
        <v>0.5</v>
      </c>
      <c r="R123" s="114">
        <f t="shared" si="269"/>
        <v>15</v>
      </c>
      <c r="S123" s="114">
        <f t="shared" si="270"/>
        <v>15</v>
      </c>
      <c r="T123" s="93">
        <f t="shared" si="271"/>
        <v>0.5</v>
      </c>
      <c r="U123" t="s">
        <v>0</v>
      </c>
      <c r="V123" s="79"/>
      <c r="W123" s="76"/>
      <c r="X123" s="76"/>
      <c r="Y123" s="76"/>
      <c r="Z123" s="76"/>
      <c r="AA123" s="80"/>
      <c r="AB123" s="79"/>
      <c r="AC123" s="76"/>
      <c r="AD123" s="76"/>
      <c r="AE123" s="76"/>
      <c r="AF123" s="76"/>
      <c r="AG123" s="80">
        <v>0.5</v>
      </c>
      <c r="AH123" s="79"/>
      <c r="AI123" s="76"/>
      <c r="AJ123" s="76"/>
      <c r="AK123" s="76"/>
      <c r="AL123" s="76"/>
      <c r="AM123" s="80"/>
      <c r="AN123" s="79"/>
      <c r="AO123" s="76"/>
      <c r="AP123" s="76"/>
      <c r="AQ123" s="76"/>
      <c r="AR123" s="76"/>
      <c r="AS123" s="80"/>
      <c r="AT123" s="79"/>
      <c r="AU123" s="76"/>
      <c r="AV123" s="76"/>
      <c r="AW123" s="76"/>
      <c r="AX123" s="76"/>
      <c r="AY123" s="80"/>
      <c r="AZ123" s="79"/>
      <c r="BA123" s="76"/>
      <c r="BB123" s="76"/>
      <c r="BC123" s="76"/>
      <c r="BD123" s="76"/>
      <c r="BE123" s="80"/>
      <c r="BF123" s="79"/>
      <c r="BG123" s="76"/>
      <c r="BH123" s="76"/>
      <c r="BI123" s="76"/>
      <c r="BJ123" s="76"/>
      <c r="BK123" s="80"/>
      <c r="BM123" s="125">
        <f t="shared" si="272"/>
        <v>0</v>
      </c>
      <c r="BN123" s="126">
        <f t="shared" si="273"/>
        <v>0.5</v>
      </c>
      <c r="BO123" s="126">
        <f t="shared" si="274"/>
        <v>0</v>
      </c>
      <c r="BP123" s="126">
        <f t="shared" si="275"/>
        <v>0</v>
      </c>
      <c r="BQ123" s="126">
        <f>SUM(AT123:AY123)</f>
        <v>0</v>
      </c>
      <c r="BR123" s="126">
        <f t="shared" si="276"/>
        <v>0</v>
      </c>
      <c r="BS123" s="127">
        <f t="shared" si="277"/>
        <v>0</v>
      </c>
      <c r="BT123" s="74"/>
      <c r="BU123" s="125">
        <f t="shared" si="278"/>
        <v>0</v>
      </c>
      <c r="BV123" s="126">
        <f t="shared" si="279"/>
        <v>15</v>
      </c>
      <c r="BW123" s="126">
        <f t="shared" si="280"/>
        <v>0</v>
      </c>
      <c r="BX123" s="126">
        <f t="shared" si="281"/>
        <v>0</v>
      </c>
      <c r="BY123" s="126">
        <f t="shared" si="282"/>
        <v>0</v>
      </c>
      <c r="BZ123" s="126">
        <f t="shared" si="282"/>
        <v>0</v>
      </c>
      <c r="CA123" s="126">
        <f t="shared" si="282"/>
        <v>0</v>
      </c>
    </row>
    <row r="124" spans="1:79">
      <c r="A124" s="147" t="str">
        <f t="shared" si="169"/>
        <v>D</v>
      </c>
      <c r="B124" s="148">
        <f t="shared" si="170"/>
        <v>40000</v>
      </c>
      <c r="C124" s="149" t="s">
        <v>114</v>
      </c>
      <c r="D124" s="150" t="s">
        <v>115</v>
      </c>
      <c r="E124" s="150" t="s">
        <v>0</v>
      </c>
      <c r="F124" s="145" t="s">
        <v>119</v>
      </c>
      <c r="G124" s="150" t="s">
        <v>0</v>
      </c>
      <c r="H124" s="150" t="s">
        <v>0</v>
      </c>
      <c r="I124" s="150" t="s">
        <v>0</v>
      </c>
      <c r="J124" s="151" t="s">
        <v>0</v>
      </c>
      <c r="K124" s="13">
        <v>1</v>
      </c>
      <c r="L124" s="12" t="s">
        <v>61</v>
      </c>
      <c r="M124" s="13">
        <v>10</v>
      </c>
      <c r="N124" s="13">
        <v>0</v>
      </c>
      <c r="O124" s="14">
        <v>10</v>
      </c>
      <c r="P124" s="113">
        <f t="shared" si="267"/>
        <v>0.5</v>
      </c>
      <c r="Q124" s="114">
        <f t="shared" si="268"/>
        <v>0.5</v>
      </c>
      <c r="R124" s="114">
        <f t="shared" si="269"/>
        <v>5</v>
      </c>
      <c r="S124" s="114">
        <f t="shared" si="270"/>
        <v>5</v>
      </c>
      <c r="T124" s="93">
        <f t="shared" si="271"/>
        <v>0.5</v>
      </c>
      <c r="U124" t="s">
        <v>0</v>
      </c>
      <c r="V124" s="79"/>
      <c r="W124" s="76"/>
      <c r="X124" s="76"/>
      <c r="Y124" s="76"/>
      <c r="Z124" s="76"/>
      <c r="AA124" s="80"/>
      <c r="AB124" s="79"/>
      <c r="AC124" s="76"/>
      <c r="AD124" s="76"/>
      <c r="AE124" s="76"/>
      <c r="AF124" s="76"/>
      <c r="AG124" s="80">
        <v>0.5</v>
      </c>
      <c r="AH124" s="79"/>
      <c r="AI124" s="76"/>
      <c r="AJ124" s="76"/>
      <c r="AK124" s="76"/>
      <c r="AL124" s="76"/>
      <c r="AM124" s="80"/>
      <c r="AN124" s="79"/>
      <c r="AO124" s="76"/>
      <c r="AP124" s="76"/>
      <c r="AQ124" s="76"/>
      <c r="AR124" s="76"/>
      <c r="AS124" s="80"/>
      <c r="AT124" s="79"/>
      <c r="AU124" s="76"/>
      <c r="AV124" s="76"/>
      <c r="AW124" s="76"/>
      <c r="AX124" s="76"/>
      <c r="AY124" s="80"/>
      <c r="AZ124" s="79"/>
      <c r="BA124" s="76"/>
      <c r="BB124" s="76"/>
      <c r="BC124" s="76"/>
      <c r="BD124" s="76"/>
      <c r="BE124" s="80"/>
      <c r="BF124" s="79"/>
      <c r="BG124" s="76"/>
      <c r="BH124" s="76"/>
      <c r="BI124" s="76"/>
      <c r="BJ124" s="76"/>
      <c r="BK124" s="80"/>
      <c r="BM124" s="125">
        <f t="shared" si="272"/>
        <v>0</v>
      </c>
      <c r="BN124" s="126">
        <f t="shared" si="273"/>
        <v>0.5</v>
      </c>
      <c r="BO124" s="126">
        <f t="shared" si="274"/>
        <v>0</v>
      </c>
      <c r="BP124" s="126">
        <f t="shared" si="275"/>
        <v>0</v>
      </c>
      <c r="BQ124" s="126">
        <f>SUM(AT124:AY124)</f>
        <v>0</v>
      </c>
      <c r="BR124" s="126">
        <f t="shared" si="276"/>
        <v>0</v>
      </c>
      <c r="BS124" s="127">
        <f t="shared" si="277"/>
        <v>0</v>
      </c>
      <c r="BT124" s="74"/>
      <c r="BU124" s="125">
        <f t="shared" si="278"/>
        <v>0</v>
      </c>
      <c r="BV124" s="126">
        <f t="shared" si="279"/>
        <v>5</v>
      </c>
      <c r="BW124" s="126">
        <f t="shared" si="280"/>
        <v>0</v>
      </c>
      <c r="BX124" s="126">
        <f t="shared" si="281"/>
        <v>0</v>
      </c>
      <c r="BY124" s="126">
        <f t="shared" si="282"/>
        <v>0</v>
      </c>
      <c r="BZ124" s="126">
        <f t="shared" si="282"/>
        <v>0</v>
      </c>
      <c r="CA124" s="126">
        <f t="shared" si="282"/>
        <v>0</v>
      </c>
    </row>
    <row r="125" spans="1:79">
      <c r="A125" s="147" t="str">
        <f t="shared" si="169"/>
        <v>D</v>
      </c>
      <c r="B125" s="148">
        <f t="shared" si="170"/>
        <v>40000</v>
      </c>
      <c r="C125" s="149" t="s">
        <v>114</v>
      </c>
      <c r="D125" s="150" t="s">
        <v>115</v>
      </c>
      <c r="E125" s="150" t="s">
        <v>0</v>
      </c>
      <c r="F125" s="145" t="s">
        <v>120</v>
      </c>
      <c r="G125" s="150" t="s">
        <v>0</v>
      </c>
      <c r="H125" s="150" t="s">
        <v>0</v>
      </c>
      <c r="I125" s="150" t="s">
        <v>0</v>
      </c>
      <c r="J125" s="151" t="s">
        <v>0</v>
      </c>
      <c r="K125" s="13">
        <v>4</v>
      </c>
      <c r="L125" s="12" t="s">
        <v>32</v>
      </c>
      <c r="M125" s="13">
        <v>12</v>
      </c>
      <c r="N125" s="13">
        <v>12</v>
      </c>
      <c r="O125" s="14">
        <v>24</v>
      </c>
      <c r="P125" s="113">
        <f t="shared" si="267"/>
        <v>4</v>
      </c>
      <c r="Q125" s="114">
        <f t="shared" si="268"/>
        <v>0</v>
      </c>
      <c r="R125" s="114">
        <f t="shared" si="269"/>
        <v>24</v>
      </c>
      <c r="S125" s="114">
        <f t="shared" si="270"/>
        <v>0</v>
      </c>
      <c r="T125" s="93">
        <f t="shared" si="271"/>
        <v>1</v>
      </c>
      <c r="U125" t="s">
        <v>0</v>
      </c>
      <c r="V125" s="79"/>
      <c r="W125" s="76"/>
      <c r="X125" s="76"/>
      <c r="Y125" s="76"/>
      <c r="Z125" s="76"/>
      <c r="AA125" s="80"/>
      <c r="AB125" s="79"/>
      <c r="AC125" s="76"/>
      <c r="AD125" s="76"/>
      <c r="AE125" s="76"/>
      <c r="AF125" s="76"/>
      <c r="AG125" s="80"/>
      <c r="AH125" s="79">
        <v>4</v>
      </c>
      <c r="AI125" s="76"/>
      <c r="AJ125" s="76"/>
      <c r="AK125" s="76"/>
      <c r="AL125" s="76"/>
      <c r="AM125" s="80"/>
      <c r="AN125" s="79"/>
      <c r="AO125" s="76"/>
      <c r="AP125" s="76"/>
      <c r="AQ125" s="76"/>
      <c r="AR125" s="76"/>
      <c r="AS125" s="80"/>
      <c r="AT125" s="79"/>
      <c r="AU125" s="76"/>
      <c r="AV125" s="76"/>
      <c r="AW125" s="76"/>
      <c r="AX125" s="76"/>
      <c r="AY125" s="80"/>
      <c r="AZ125" s="79"/>
      <c r="BA125" s="76"/>
      <c r="BB125" s="76"/>
      <c r="BC125" s="76"/>
      <c r="BD125" s="76"/>
      <c r="BE125" s="80"/>
      <c r="BF125" s="79"/>
      <c r="BG125" s="76"/>
      <c r="BH125" s="76"/>
      <c r="BI125" s="76"/>
      <c r="BJ125" s="76"/>
      <c r="BK125" s="80"/>
      <c r="BM125" s="125">
        <f t="shared" si="272"/>
        <v>0</v>
      </c>
      <c r="BN125" s="126">
        <f t="shared" si="273"/>
        <v>0</v>
      </c>
      <c r="BO125" s="126">
        <f t="shared" si="274"/>
        <v>4</v>
      </c>
      <c r="BP125" s="126">
        <f t="shared" si="275"/>
        <v>0</v>
      </c>
      <c r="BQ125" s="126">
        <f>SUM(AT125:AY125)</f>
        <v>0</v>
      </c>
      <c r="BR125" s="126">
        <f t="shared" si="276"/>
        <v>0</v>
      </c>
      <c r="BS125" s="127">
        <f t="shared" si="277"/>
        <v>0</v>
      </c>
      <c r="BT125" s="74"/>
      <c r="BU125" s="125">
        <f t="shared" si="278"/>
        <v>0</v>
      </c>
      <c r="BV125" s="126">
        <f t="shared" si="279"/>
        <v>0</v>
      </c>
      <c r="BW125" s="126">
        <f t="shared" si="280"/>
        <v>24</v>
      </c>
      <c r="BX125" s="126">
        <f t="shared" si="281"/>
        <v>0</v>
      </c>
      <c r="BY125" s="126">
        <f t="shared" si="282"/>
        <v>0</v>
      </c>
      <c r="BZ125" s="126">
        <f t="shared" si="282"/>
        <v>0</v>
      </c>
      <c r="CA125" s="126">
        <f t="shared" si="282"/>
        <v>0</v>
      </c>
    </row>
    <row r="126" spans="1:79">
      <c r="A126" s="147" t="str">
        <f t="shared" si="169"/>
        <v>D</v>
      </c>
      <c r="B126" s="148">
        <f t="shared" si="170"/>
        <v>40000</v>
      </c>
      <c r="C126" s="149" t="s">
        <v>114</v>
      </c>
      <c r="D126" s="150" t="s">
        <v>115</v>
      </c>
      <c r="E126" s="150" t="s">
        <v>0</v>
      </c>
      <c r="F126" s="145" t="s">
        <v>121</v>
      </c>
      <c r="G126" s="150" t="s">
        <v>0</v>
      </c>
      <c r="H126" s="150" t="s">
        <v>0</v>
      </c>
      <c r="I126" s="150" t="s">
        <v>0</v>
      </c>
      <c r="J126" s="151" t="s">
        <v>0</v>
      </c>
      <c r="K126" s="13">
        <v>2</v>
      </c>
      <c r="L126" s="12" t="s">
        <v>32</v>
      </c>
      <c r="M126" s="13">
        <v>20</v>
      </c>
      <c r="N126" s="13">
        <v>0</v>
      </c>
      <c r="O126" s="14">
        <v>20</v>
      </c>
      <c r="P126" s="113">
        <f t="shared" si="267"/>
        <v>2</v>
      </c>
      <c r="Q126" s="114">
        <f t="shared" si="268"/>
        <v>0</v>
      </c>
      <c r="R126" s="114">
        <f t="shared" si="269"/>
        <v>20</v>
      </c>
      <c r="S126" s="114">
        <f t="shared" si="270"/>
        <v>0</v>
      </c>
      <c r="T126" s="93">
        <f t="shared" si="271"/>
        <v>1</v>
      </c>
      <c r="U126" t="s">
        <v>0</v>
      </c>
      <c r="V126" s="79"/>
      <c r="W126" s="76"/>
      <c r="X126" s="76"/>
      <c r="Y126" s="76"/>
      <c r="Z126" s="76"/>
      <c r="AA126" s="80"/>
      <c r="AB126" s="79"/>
      <c r="AC126" s="76"/>
      <c r="AD126" s="76">
        <v>2</v>
      </c>
      <c r="AE126" s="76"/>
      <c r="AF126" s="76"/>
      <c r="AG126" s="80"/>
      <c r="AH126" s="79"/>
      <c r="AI126" s="76"/>
      <c r="AJ126" s="76"/>
      <c r="AK126" s="76"/>
      <c r="AL126" s="76"/>
      <c r="AM126" s="80"/>
      <c r="AN126" s="79"/>
      <c r="AO126" s="76"/>
      <c r="AP126" s="76"/>
      <c r="AQ126" s="76"/>
      <c r="AR126" s="76"/>
      <c r="AS126" s="80"/>
      <c r="AT126" s="79"/>
      <c r="AU126" s="76"/>
      <c r="AV126" s="76"/>
      <c r="AW126" s="76"/>
      <c r="AX126" s="76"/>
      <c r="AY126" s="80"/>
      <c r="AZ126" s="79"/>
      <c r="BA126" s="76"/>
      <c r="BB126" s="76"/>
      <c r="BC126" s="76"/>
      <c r="BD126" s="76"/>
      <c r="BE126" s="80"/>
      <c r="BF126" s="79"/>
      <c r="BG126" s="76"/>
      <c r="BH126" s="76"/>
      <c r="BI126" s="76"/>
      <c r="BJ126" s="76"/>
      <c r="BK126" s="80"/>
      <c r="BM126" s="125">
        <f t="shared" si="272"/>
        <v>0</v>
      </c>
      <c r="BN126" s="126">
        <f t="shared" si="273"/>
        <v>2</v>
      </c>
      <c r="BO126" s="126">
        <f t="shared" si="274"/>
        <v>0</v>
      </c>
      <c r="BP126" s="126">
        <f t="shared" si="275"/>
        <v>0</v>
      </c>
      <c r="BQ126" s="126">
        <f>SUM(AT126:AY126)</f>
        <v>0</v>
      </c>
      <c r="BR126" s="126">
        <f t="shared" si="276"/>
        <v>0</v>
      </c>
      <c r="BS126" s="127">
        <f t="shared" si="277"/>
        <v>0</v>
      </c>
      <c r="BT126" s="74"/>
      <c r="BU126" s="125">
        <f t="shared" si="278"/>
        <v>0</v>
      </c>
      <c r="BV126" s="126">
        <f t="shared" si="279"/>
        <v>20</v>
      </c>
      <c r="BW126" s="126">
        <f t="shared" si="280"/>
        <v>0</v>
      </c>
      <c r="BX126" s="126">
        <f t="shared" si="281"/>
        <v>0</v>
      </c>
      <c r="BY126" s="126">
        <f t="shared" si="282"/>
        <v>0</v>
      </c>
      <c r="BZ126" s="126">
        <f t="shared" si="282"/>
        <v>0</v>
      </c>
      <c r="CA126" s="126">
        <f t="shared" si="282"/>
        <v>0</v>
      </c>
    </row>
    <row r="127" spans="1:79">
      <c r="A127" s="147" t="str">
        <f t="shared" si="169"/>
        <v>D</v>
      </c>
      <c r="B127" s="148">
        <f t="shared" si="170"/>
        <v>40000</v>
      </c>
      <c r="C127" s="149" t="s">
        <v>114</v>
      </c>
      <c r="D127" s="150" t="s">
        <v>115</v>
      </c>
      <c r="E127" s="150" t="s">
        <v>0</v>
      </c>
      <c r="F127" s="145" t="s">
        <v>122</v>
      </c>
      <c r="G127" s="150" t="s">
        <v>0</v>
      </c>
      <c r="H127" s="150" t="s">
        <v>0</v>
      </c>
      <c r="I127" s="150" t="s">
        <v>0</v>
      </c>
      <c r="J127" s="151" t="s">
        <v>0</v>
      </c>
      <c r="K127" s="13">
        <v>2</v>
      </c>
      <c r="L127" s="12" t="s">
        <v>32</v>
      </c>
      <c r="M127" s="13">
        <v>16</v>
      </c>
      <c r="N127" s="13">
        <v>0</v>
      </c>
      <c r="O127" s="14">
        <v>16</v>
      </c>
      <c r="P127" s="113">
        <f t="shared" si="267"/>
        <v>2</v>
      </c>
      <c r="Q127" s="114">
        <f t="shared" si="268"/>
        <v>0</v>
      </c>
      <c r="R127" s="114">
        <f t="shared" si="269"/>
        <v>16</v>
      </c>
      <c r="S127" s="114">
        <f t="shared" si="270"/>
        <v>0</v>
      </c>
      <c r="T127" s="93">
        <f t="shared" si="271"/>
        <v>1</v>
      </c>
      <c r="U127" t="s">
        <v>0</v>
      </c>
      <c r="V127" s="79"/>
      <c r="W127" s="76"/>
      <c r="X127" s="76"/>
      <c r="Y127" s="76"/>
      <c r="Z127" s="76"/>
      <c r="AA127" s="80"/>
      <c r="AB127" s="79"/>
      <c r="AC127" s="76"/>
      <c r="AD127" s="76">
        <v>2</v>
      </c>
      <c r="AE127" s="76"/>
      <c r="AF127" s="76"/>
      <c r="AG127" s="80"/>
      <c r="AH127" s="79"/>
      <c r="AI127" s="76"/>
      <c r="AJ127" s="76"/>
      <c r="AK127" s="76"/>
      <c r="AL127" s="76"/>
      <c r="AM127" s="80"/>
      <c r="AN127" s="79"/>
      <c r="AO127" s="76"/>
      <c r="AP127" s="76"/>
      <c r="AQ127" s="76"/>
      <c r="AR127" s="76"/>
      <c r="AS127" s="80"/>
      <c r="AT127" s="79"/>
      <c r="AU127" s="76"/>
      <c r="AV127" s="76"/>
      <c r="AW127" s="76"/>
      <c r="AX127" s="76"/>
      <c r="AY127" s="80"/>
      <c r="AZ127" s="79"/>
      <c r="BA127" s="76"/>
      <c r="BB127" s="76"/>
      <c r="BC127" s="76"/>
      <c r="BD127" s="76"/>
      <c r="BE127" s="80"/>
      <c r="BF127" s="79"/>
      <c r="BG127" s="76"/>
      <c r="BH127" s="76"/>
      <c r="BI127" s="76"/>
      <c r="BJ127" s="76"/>
      <c r="BK127" s="80"/>
      <c r="BM127" s="125">
        <f t="shared" si="272"/>
        <v>0</v>
      </c>
      <c r="BN127" s="126">
        <f t="shared" si="273"/>
        <v>2</v>
      </c>
      <c r="BO127" s="126">
        <f t="shared" si="274"/>
        <v>0</v>
      </c>
      <c r="BP127" s="126">
        <f t="shared" si="275"/>
        <v>0</v>
      </c>
      <c r="BQ127" s="126">
        <f>SUM(AT127:AY127)</f>
        <v>0</v>
      </c>
      <c r="BR127" s="126">
        <f t="shared" si="276"/>
        <v>0</v>
      </c>
      <c r="BS127" s="127">
        <f t="shared" si="277"/>
        <v>0</v>
      </c>
      <c r="BT127" s="74"/>
      <c r="BU127" s="125">
        <f t="shared" si="278"/>
        <v>0</v>
      </c>
      <c r="BV127" s="126">
        <f t="shared" si="279"/>
        <v>16</v>
      </c>
      <c r="BW127" s="126">
        <f t="shared" si="280"/>
        <v>0</v>
      </c>
      <c r="BX127" s="126">
        <f t="shared" si="281"/>
        <v>0</v>
      </c>
      <c r="BY127" s="126">
        <f t="shared" si="282"/>
        <v>0</v>
      </c>
      <c r="BZ127" s="126">
        <f t="shared" si="282"/>
        <v>0</v>
      </c>
      <c r="CA127" s="126">
        <f t="shared" si="282"/>
        <v>0</v>
      </c>
    </row>
    <row r="128" spans="1:79">
      <c r="A128" s="147" t="str">
        <f t="shared" si="169"/>
        <v>D</v>
      </c>
      <c r="B128" s="148">
        <f t="shared" si="170"/>
        <v>40000</v>
      </c>
      <c r="C128" s="149" t="s">
        <v>114</v>
      </c>
      <c r="D128" s="150" t="s">
        <v>115</v>
      </c>
      <c r="E128" s="150" t="s">
        <v>0</v>
      </c>
      <c r="F128" s="145" t="s">
        <v>123</v>
      </c>
      <c r="G128" s="150" t="s">
        <v>0</v>
      </c>
      <c r="H128" s="150" t="s">
        <v>0</v>
      </c>
      <c r="I128" s="150" t="s">
        <v>0</v>
      </c>
      <c r="J128" s="151" t="s">
        <v>0</v>
      </c>
      <c r="K128" s="13">
        <v>4</v>
      </c>
      <c r="L128" s="12" t="s">
        <v>32</v>
      </c>
      <c r="M128" s="13">
        <v>4</v>
      </c>
      <c r="N128" s="13">
        <v>0</v>
      </c>
      <c r="O128" s="14">
        <v>4</v>
      </c>
      <c r="P128" s="113">
        <f t="shared" si="267"/>
        <v>4</v>
      </c>
      <c r="Q128" s="114">
        <f t="shared" si="268"/>
        <v>0</v>
      </c>
      <c r="R128" s="114">
        <f t="shared" si="269"/>
        <v>4</v>
      </c>
      <c r="S128" s="114">
        <f t="shared" si="270"/>
        <v>0</v>
      </c>
      <c r="T128" s="93">
        <f t="shared" si="271"/>
        <v>1</v>
      </c>
      <c r="U128" t="s">
        <v>0</v>
      </c>
      <c r="V128" s="79"/>
      <c r="W128" s="76"/>
      <c r="X128" s="76"/>
      <c r="Y128" s="76"/>
      <c r="Z128" s="76"/>
      <c r="AA128" s="80"/>
      <c r="AB128" s="79"/>
      <c r="AC128" s="76"/>
      <c r="AD128" s="76"/>
      <c r="AE128" s="76"/>
      <c r="AF128" s="76"/>
      <c r="AG128" s="80">
        <v>2</v>
      </c>
      <c r="AH128" s="79">
        <v>2</v>
      </c>
      <c r="AI128" s="76"/>
      <c r="AJ128" s="76"/>
      <c r="AK128" s="76"/>
      <c r="AL128" s="76"/>
      <c r="AM128" s="80"/>
      <c r="AN128" s="79"/>
      <c r="AO128" s="76"/>
      <c r="AP128" s="76"/>
      <c r="AQ128" s="76"/>
      <c r="AR128" s="76"/>
      <c r="AS128" s="80"/>
      <c r="AT128" s="79"/>
      <c r="AU128" s="76"/>
      <c r="AV128" s="76"/>
      <c r="AW128" s="76"/>
      <c r="AX128" s="76"/>
      <c r="AY128" s="80"/>
      <c r="AZ128" s="79"/>
      <c r="BA128" s="76"/>
      <c r="BB128" s="76"/>
      <c r="BC128" s="76"/>
      <c r="BD128" s="76"/>
      <c r="BE128" s="80"/>
      <c r="BF128" s="79"/>
      <c r="BG128" s="76"/>
      <c r="BH128" s="76"/>
      <c r="BI128" s="76"/>
      <c r="BJ128" s="76"/>
      <c r="BK128" s="80"/>
      <c r="BM128" s="125">
        <f t="shared" si="272"/>
        <v>0</v>
      </c>
      <c r="BN128" s="126">
        <f t="shared" si="273"/>
        <v>2</v>
      </c>
      <c r="BO128" s="126">
        <f t="shared" si="274"/>
        <v>2</v>
      </c>
      <c r="BP128" s="126">
        <f t="shared" si="275"/>
        <v>0</v>
      </c>
      <c r="BQ128" s="126">
        <f>SUM(AT128:AY128)</f>
        <v>0</v>
      </c>
      <c r="BR128" s="126">
        <f t="shared" si="276"/>
        <v>0</v>
      </c>
      <c r="BS128" s="127">
        <f t="shared" si="277"/>
        <v>0</v>
      </c>
      <c r="BT128" s="74"/>
      <c r="BU128" s="125">
        <f t="shared" si="278"/>
        <v>0</v>
      </c>
      <c r="BV128" s="126">
        <f t="shared" si="279"/>
        <v>2</v>
      </c>
      <c r="BW128" s="126">
        <f t="shared" si="280"/>
        <v>2</v>
      </c>
      <c r="BX128" s="126">
        <f t="shared" si="281"/>
        <v>0</v>
      </c>
      <c r="BY128" s="126">
        <f t="shared" si="282"/>
        <v>0</v>
      </c>
      <c r="BZ128" s="126">
        <f t="shared" si="282"/>
        <v>0</v>
      </c>
      <c r="CA128" s="126">
        <f t="shared" si="282"/>
        <v>0</v>
      </c>
    </row>
    <row r="129" spans="1:79" ht="15.75">
      <c r="A129" s="152" t="str">
        <f t="shared" si="169"/>
        <v>P</v>
      </c>
      <c r="B129" s="153">
        <f t="shared" si="170"/>
        <v>40000</v>
      </c>
      <c r="C129" s="154" t="s">
        <v>124</v>
      </c>
      <c r="D129" s="155" t="s">
        <v>0</v>
      </c>
      <c r="E129" s="155" t="s">
        <v>0</v>
      </c>
      <c r="F129" s="156" t="s">
        <v>125</v>
      </c>
      <c r="G129" s="155" t="s">
        <v>0</v>
      </c>
      <c r="H129" s="155" t="s">
        <v>0</v>
      </c>
      <c r="I129" s="155" t="s">
        <v>0</v>
      </c>
      <c r="J129" s="157" t="s">
        <v>0</v>
      </c>
      <c r="K129" s="9">
        <v>4</v>
      </c>
      <c r="L129" s="8" t="s">
        <v>67</v>
      </c>
      <c r="M129" s="9">
        <v>7</v>
      </c>
      <c r="N129" s="9">
        <v>0</v>
      </c>
      <c r="O129" s="10">
        <v>7</v>
      </c>
      <c r="P129" s="111"/>
      <c r="Q129" s="112"/>
      <c r="R129" s="112">
        <f>SUMIFS(R130:R$415,$C130:$C$415,$C129)</f>
        <v>7</v>
      </c>
      <c r="S129" s="112">
        <f>SUMIFS(S130:S$415,$C130:$C$415,$C129)</f>
        <v>0</v>
      </c>
      <c r="T129" s="92">
        <f>R129/O129</f>
        <v>1</v>
      </c>
      <c r="V129" s="77"/>
      <c r="W129" s="75"/>
      <c r="X129" s="75"/>
      <c r="Y129" s="75"/>
      <c r="Z129" s="75"/>
      <c r="AA129" s="78"/>
      <c r="AB129" s="77"/>
      <c r="AC129" s="75"/>
      <c r="AD129" s="75"/>
      <c r="AE129" s="75"/>
      <c r="AF129" s="75"/>
      <c r="AG129" s="78"/>
      <c r="AH129" s="77"/>
      <c r="AI129" s="75"/>
      <c r="AJ129" s="75"/>
      <c r="AK129" s="75"/>
      <c r="AL129" s="75"/>
      <c r="AM129" s="78"/>
      <c r="AN129" s="77"/>
      <c r="AO129" s="75"/>
      <c r="AP129" s="75"/>
      <c r="AQ129" s="75"/>
      <c r="AR129" s="75"/>
      <c r="AS129" s="78"/>
      <c r="AT129" s="77"/>
      <c r="AU129" s="75"/>
      <c r="AV129" s="75"/>
      <c r="AW129" s="75"/>
      <c r="AX129" s="75"/>
      <c r="AY129" s="78"/>
      <c r="AZ129" s="77"/>
      <c r="BA129" s="75"/>
      <c r="BB129" s="75"/>
      <c r="BC129" s="75"/>
      <c r="BD129" s="75"/>
      <c r="BE129" s="78"/>
      <c r="BF129" s="77"/>
      <c r="BG129" s="75"/>
      <c r="BH129" s="75"/>
      <c r="BI129" s="75"/>
      <c r="BJ129" s="75"/>
      <c r="BK129" s="78"/>
      <c r="BM129" s="122"/>
      <c r="BN129" s="123"/>
      <c r="BO129" s="123"/>
      <c r="BP129" s="123"/>
      <c r="BQ129" s="123"/>
      <c r="BR129" s="123"/>
      <c r="BS129" s="124"/>
      <c r="BT129" s="74"/>
      <c r="BU129" s="122"/>
      <c r="BV129" s="123"/>
      <c r="BW129" s="123"/>
      <c r="BX129" s="123"/>
      <c r="BY129" s="123"/>
      <c r="BZ129" s="123"/>
      <c r="CA129" s="123"/>
    </row>
    <row r="130" spans="1:79">
      <c r="A130" s="147" t="str">
        <f t="shared" si="169"/>
        <v>D</v>
      </c>
      <c r="B130" s="148">
        <f t="shared" si="170"/>
        <v>40000</v>
      </c>
      <c r="C130" s="149" t="s">
        <v>124</v>
      </c>
      <c r="D130" s="150" t="s">
        <v>0</v>
      </c>
      <c r="E130" s="150" t="s">
        <v>0</v>
      </c>
      <c r="F130" s="145" t="s">
        <v>68</v>
      </c>
      <c r="G130" s="150" t="s">
        <v>0</v>
      </c>
      <c r="H130" s="150" t="s">
        <v>0</v>
      </c>
      <c r="I130" s="150" t="s">
        <v>0</v>
      </c>
      <c r="J130" s="151" t="s">
        <v>0</v>
      </c>
      <c r="K130" s="13">
        <v>1</v>
      </c>
      <c r="L130" s="12" t="s">
        <v>32</v>
      </c>
      <c r="M130" s="13">
        <v>4</v>
      </c>
      <c r="N130" s="13">
        <v>0</v>
      </c>
      <c r="O130" s="14">
        <v>4</v>
      </c>
      <c r="P130" s="113">
        <f t="shared" ref="P130:P131" si="283">SUM(BM130:BS130)</f>
        <v>1</v>
      </c>
      <c r="Q130" s="114">
        <f t="shared" ref="Q130:Q131" si="284">K130-P130</f>
        <v>0</v>
      </c>
      <c r="R130" s="114">
        <f t="shared" ref="R130:R131" si="285">SUM(BU130:CA130)</f>
        <v>4</v>
      </c>
      <c r="S130" s="114">
        <f t="shared" ref="S130:S131" si="286">O130-R130</f>
        <v>0</v>
      </c>
      <c r="T130" s="93">
        <f t="shared" ref="T130:T131" si="287">R130/O130</f>
        <v>1</v>
      </c>
      <c r="U130" t="s">
        <v>0</v>
      </c>
      <c r="V130" s="79"/>
      <c r="W130" s="76"/>
      <c r="X130" s="76">
        <v>1</v>
      </c>
      <c r="Y130" s="76"/>
      <c r="Z130" s="76"/>
      <c r="AA130" s="80"/>
      <c r="AB130" s="79"/>
      <c r="AC130" s="76"/>
      <c r="AD130" s="76"/>
      <c r="AE130" s="76"/>
      <c r="AF130" s="76"/>
      <c r="AG130" s="80"/>
      <c r="AH130" s="79"/>
      <c r="AI130" s="76"/>
      <c r="AJ130" s="76"/>
      <c r="AK130" s="76"/>
      <c r="AL130" s="76"/>
      <c r="AM130" s="80"/>
      <c r="AN130" s="79"/>
      <c r="AO130" s="76"/>
      <c r="AP130" s="76"/>
      <c r="AQ130" s="76"/>
      <c r="AR130" s="76"/>
      <c r="AS130" s="80"/>
      <c r="AT130" s="79"/>
      <c r="AU130" s="76"/>
      <c r="AV130" s="76"/>
      <c r="AW130" s="76"/>
      <c r="AX130" s="76"/>
      <c r="AY130" s="80"/>
      <c r="AZ130" s="79"/>
      <c r="BA130" s="76"/>
      <c r="BB130" s="76"/>
      <c r="BC130" s="76"/>
      <c r="BD130" s="76"/>
      <c r="BE130" s="80"/>
      <c r="BF130" s="79"/>
      <c r="BG130" s="76"/>
      <c r="BH130" s="76"/>
      <c r="BI130" s="76"/>
      <c r="BJ130" s="76"/>
      <c r="BK130" s="80"/>
      <c r="BM130" s="125">
        <f t="shared" ref="BM130:BM131" si="288">SUM(V130:AA130)</f>
        <v>1</v>
      </c>
      <c r="BN130" s="126">
        <f t="shared" ref="BN130:BN131" si="289">SUM(AB130:AG130)</f>
        <v>0</v>
      </c>
      <c r="BO130" s="126">
        <f t="shared" ref="BO130:BO131" si="290">SUM(AH130:AM130)</f>
        <v>0</v>
      </c>
      <c r="BP130" s="126">
        <f t="shared" ref="BP130:BP131" si="291">SUM(AN130:AS130)</f>
        <v>0</v>
      </c>
      <c r="BQ130" s="126">
        <f>SUM(AT130:AY130)</f>
        <v>0</v>
      </c>
      <c r="BR130" s="126">
        <f t="shared" ref="BR130:BS131" si="292">SUM(AZ130:BE130)</f>
        <v>0</v>
      </c>
      <c r="BS130" s="127">
        <f t="shared" ref="BS130:BS131" si="293">SUM(BF130:BK130)</f>
        <v>0</v>
      </c>
      <c r="BT130" s="74"/>
      <c r="BU130" s="125">
        <f t="shared" ref="BU130:BU131" si="294">(BM130/$K130)*$O130</f>
        <v>4</v>
      </c>
      <c r="BV130" s="126">
        <f t="shared" ref="BV130:BV131" si="295">(BN130/$K130)*$O130</f>
        <v>0</v>
      </c>
      <c r="BW130" s="126">
        <f t="shared" ref="BW130:BW131" si="296">(BO130/$K130)*$O130</f>
        <v>0</v>
      </c>
      <c r="BX130" s="126">
        <f t="shared" ref="BX130:BX131" si="297">(BP130/$K130)*$O130</f>
        <v>0</v>
      </c>
      <c r="BY130" s="126">
        <f t="shared" ref="BY130:CA131" si="298">(BQ130/$K130)*$O130</f>
        <v>0</v>
      </c>
      <c r="BZ130" s="126">
        <f t="shared" si="298"/>
        <v>0</v>
      </c>
      <c r="CA130" s="126">
        <f t="shared" si="298"/>
        <v>0</v>
      </c>
    </row>
    <row r="131" spans="1:79">
      <c r="A131" s="147" t="str">
        <f t="shared" si="169"/>
        <v>D</v>
      </c>
      <c r="B131" s="148">
        <f t="shared" si="170"/>
        <v>40000</v>
      </c>
      <c r="C131" s="149" t="s">
        <v>124</v>
      </c>
      <c r="D131" s="150" t="s">
        <v>0</v>
      </c>
      <c r="E131" s="150" t="s">
        <v>0</v>
      </c>
      <c r="F131" s="145" t="s">
        <v>72</v>
      </c>
      <c r="G131" s="150" t="s">
        <v>0</v>
      </c>
      <c r="H131" s="150" t="s">
        <v>0</v>
      </c>
      <c r="I131" s="150" t="s">
        <v>0</v>
      </c>
      <c r="J131" s="151" t="s">
        <v>0</v>
      </c>
      <c r="K131" s="13">
        <v>4</v>
      </c>
      <c r="L131" s="12" t="s">
        <v>67</v>
      </c>
      <c r="M131" s="13">
        <v>3</v>
      </c>
      <c r="N131" s="13">
        <v>0</v>
      </c>
      <c r="O131" s="14">
        <v>3</v>
      </c>
      <c r="P131" s="113">
        <f t="shared" si="283"/>
        <v>4</v>
      </c>
      <c r="Q131" s="114">
        <f t="shared" si="284"/>
        <v>0</v>
      </c>
      <c r="R131" s="114">
        <f t="shared" si="285"/>
        <v>3</v>
      </c>
      <c r="S131" s="114">
        <f t="shared" si="286"/>
        <v>0</v>
      </c>
      <c r="T131" s="93">
        <f t="shared" si="287"/>
        <v>1</v>
      </c>
      <c r="U131" t="s">
        <v>0</v>
      </c>
      <c r="V131" s="79"/>
      <c r="W131" s="76"/>
      <c r="X131" s="76"/>
      <c r="Y131" s="76"/>
      <c r="Z131" s="76"/>
      <c r="AA131" s="80"/>
      <c r="AB131" s="79"/>
      <c r="AC131" s="76">
        <v>4</v>
      </c>
      <c r="AD131" s="76"/>
      <c r="AE131" s="76"/>
      <c r="AF131" s="76"/>
      <c r="AG131" s="80"/>
      <c r="AH131" s="79"/>
      <c r="AI131" s="76"/>
      <c r="AJ131" s="76"/>
      <c r="AK131" s="76"/>
      <c r="AL131" s="76"/>
      <c r="AM131" s="80"/>
      <c r="AN131" s="79"/>
      <c r="AO131" s="76"/>
      <c r="AP131" s="76"/>
      <c r="AQ131" s="76"/>
      <c r="AR131" s="76"/>
      <c r="AS131" s="80"/>
      <c r="AT131" s="79"/>
      <c r="AU131" s="76"/>
      <c r="AV131" s="76"/>
      <c r="AW131" s="76"/>
      <c r="AX131" s="76"/>
      <c r="AY131" s="80"/>
      <c r="AZ131" s="79"/>
      <c r="BA131" s="76"/>
      <c r="BB131" s="76"/>
      <c r="BC131" s="76"/>
      <c r="BD131" s="76"/>
      <c r="BE131" s="80"/>
      <c r="BF131" s="79"/>
      <c r="BG131" s="76"/>
      <c r="BH131" s="76"/>
      <c r="BI131" s="76"/>
      <c r="BJ131" s="76"/>
      <c r="BK131" s="80"/>
      <c r="BM131" s="125">
        <f t="shared" si="288"/>
        <v>0</v>
      </c>
      <c r="BN131" s="126">
        <f t="shared" si="289"/>
        <v>4</v>
      </c>
      <c r="BO131" s="126">
        <f t="shared" si="290"/>
        <v>0</v>
      </c>
      <c r="BP131" s="126">
        <f t="shared" si="291"/>
        <v>0</v>
      </c>
      <c r="BQ131" s="126">
        <f>SUM(AT131:AY131)</f>
        <v>0</v>
      </c>
      <c r="BR131" s="126">
        <f t="shared" si="292"/>
        <v>0</v>
      </c>
      <c r="BS131" s="127">
        <f t="shared" si="293"/>
        <v>0</v>
      </c>
      <c r="BT131" s="74"/>
      <c r="BU131" s="125">
        <f t="shared" si="294"/>
        <v>0</v>
      </c>
      <c r="BV131" s="126">
        <f t="shared" si="295"/>
        <v>3</v>
      </c>
      <c r="BW131" s="126">
        <f t="shared" si="296"/>
        <v>0</v>
      </c>
      <c r="BX131" s="126">
        <f t="shared" si="297"/>
        <v>0</v>
      </c>
      <c r="BY131" s="126">
        <f t="shared" si="298"/>
        <v>0</v>
      </c>
      <c r="BZ131" s="126">
        <f t="shared" si="298"/>
        <v>0</v>
      </c>
      <c r="CA131" s="126">
        <f t="shared" si="298"/>
        <v>0</v>
      </c>
    </row>
    <row r="132" spans="1:79" ht="15.75">
      <c r="A132" s="152" t="str">
        <f t="shared" si="169"/>
        <v>P</v>
      </c>
      <c r="B132" s="153">
        <f t="shared" si="170"/>
        <v>40000</v>
      </c>
      <c r="C132" s="154" t="s">
        <v>126</v>
      </c>
      <c r="D132" s="155" t="s">
        <v>0</v>
      </c>
      <c r="E132" s="155" t="s">
        <v>0</v>
      </c>
      <c r="F132" s="156" t="s">
        <v>127</v>
      </c>
      <c r="G132" s="155" t="s">
        <v>54</v>
      </c>
      <c r="H132" s="155" t="s">
        <v>0</v>
      </c>
      <c r="I132" s="155" t="s">
        <v>0</v>
      </c>
      <c r="J132" s="157" t="s">
        <v>0</v>
      </c>
      <c r="K132" s="9">
        <v>21.5</v>
      </c>
      <c r="L132" s="8" t="s">
        <v>67</v>
      </c>
      <c r="M132" s="9">
        <v>20.13</v>
      </c>
      <c r="N132" s="9">
        <v>0</v>
      </c>
      <c r="O132" s="10">
        <v>20.13</v>
      </c>
      <c r="P132" s="111"/>
      <c r="Q132" s="112"/>
      <c r="R132" s="112">
        <f>SUMIFS(R133:R$415,$C133:$C$415,$C132)</f>
        <v>20.13</v>
      </c>
      <c r="S132" s="112">
        <f>SUMIFS(S133:S$415,$C133:$C$415,$C132)</f>
        <v>0</v>
      </c>
      <c r="T132" s="92">
        <f>R132/O132</f>
        <v>1</v>
      </c>
      <c r="V132" s="77"/>
      <c r="W132" s="75"/>
      <c r="X132" s="75"/>
      <c r="Y132" s="75"/>
      <c r="Z132" s="75"/>
      <c r="AA132" s="78"/>
      <c r="AB132" s="77"/>
      <c r="AC132" s="75"/>
      <c r="AD132" s="75"/>
      <c r="AE132" s="75"/>
      <c r="AF132" s="75"/>
      <c r="AG132" s="78"/>
      <c r="AH132" s="77"/>
      <c r="AI132" s="75"/>
      <c r="AJ132" s="75"/>
      <c r="AK132" s="75"/>
      <c r="AL132" s="75"/>
      <c r="AM132" s="78"/>
      <c r="AN132" s="77"/>
      <c r="AO132" s="75"/>
      <c r="AP132" s="75"/>
      <c r="AQ132" s="75"/>
      <c r="AR132" s="75"/>
      <c r="AS132" s="78"/>
      <c r="AT132" s="77"/>
      <c r="AU132" s="75"/>
      <c r="AV132" s="75"/>
      <c r="AW132" s="75"/>
      <c r="AX132" s="75"/>
      <c r="AY132" s="78"/>
      <c r="AZ132" s="77"/>
      <c r="BA132" s="75"/>
      <c r="BB132" s="75"/>
      <c r="BC132" s="75"/>
      <c r="BD132" s="75"/>
      <c r="BE132" s="78"/>
      <c r="BF132" s="77"/>
      <c r="BG132" s="75"/>
      <c r="BH132" s="75"/>
      <c r="BI132" s="75"/>
      <c r="BJ132" s="75"/>
      <c r="BK132" s="78"/>
      <c r="BM132" s="122"/>
      <c r="BN132" s="123"/>
      <c r="BO132" s="123"/>
      <c r="BP132" s="123"/>
      <c r="BQ132" s="123"/>
      <c r="BR132" s="123"/>
      <c r="BS132" s="124"/>
      <c r="BT132" s="74"/>
      <c r="BU132" s="122"/>
      <c r="BV132" s="123"/>
      <c r="BW132" s="123"/>
      <c r="BX132" s="123"/>
      <c r="BY132" s="123"/>
      <c r="BZ132" s="123"/>
      <c r="CA132" s="123"/>
    </row>
    <row r="133" spans="1:79">
      <c r="A133" s="147" t="str">
        <f t="shared" si="169"/>
        <v>D</v>
      </c>
      <c r="B133" s="148">
        <f t="shared" si="170"/>
        <v>40000</v>
      </c>
      <c r="C133" s="149" t="s">
        <v>126</v>
      </c>
      <c r="D133" s="150" t="s">
        <v>0</v>
      </c>
      <c r="E133" s="150" t="s">
        <v>0</v>
      </c>
      <c r="F133" s="145" t="s">
        <v>68</v>
      </c>
      <c r="G133" s="150" t="s">
        <v>54</v>
      </c>
      <c r="H133" s="150" t="s">
        <v>0</v>
      </c>
      <c r="I133" s="150" t="s">
        <v>0</v>
      </c>
      <c r="J133" s="151" t="s">
        <v>0</v>
      </c>
      <c r="K133" s="13">
        <v>1</v>
      </c>
      <c r="L133" s="12" t="s">
        <v>32</v>
      </c>
      <c r="M133" s="13">
        <v>4</v>
      </c>
      <c r="N133" s="13">
        <v>0</v>
      </c>
      <c r="O133" s="14">
        <v>4</v>
      </c>
      <c r="P133" s="113">
        <f t="shared" ref="P133:P134" si="299">SUM(BM133:BS133)</f>
        <v>1</v>
      </c>
      <c r="Q133" s="114">
        <f t="shared" ref="Q133:Q134" si="300">K133-P133</f>
        <v>0</v>
      </c>
      <c r="R133" s="114">
        <f t="shared" ref="R133:R134" si="301">SUM(BU133:CA133)</f>
        <v>4</v>
      </c>
      <c r="S133" s="114">
        <f t="shared" ref="S133:S134" si="302">O133-R133</f>
        <v>0</v>
      </c>
      <c r="T133" s="93">
        <f t="shared" ref="T133:T134" si="303">R133/O133</f>
        <v>1</v>
      </c>
      <c r="U133" t="s">
        <v>0</v>
      </c>
      <c r="V133" s="79"/>
      <c r="W133" s="76"/>
      <c r="X133" s="76">
        <v>1</v>
      </c>
      <c r="Y133" s="76"/>
      <c r="Z133" s="76"/>
      <c r="AA133" s="80"/>
      <c r="AB133" s="79"/>
      <c r="AC133" s="76"/>
      <c r="AD133" s="76"/>
      <c r="AE133" s="76"/>
      <c r="AF133" s="76"/>
      <c r="AG133" s="80"/>
      <c r="AH133" s="79"/>
      <c r="AI133" s="76"/>
      <c r="AJ133" s="76"/>
      <c r="AK133" s="76"/>
      <c r="AL133" s="76"/>
      <c r="AM133" s="80"/>
      <c r="AN133" s="79"/>
      <c r="AO133" s="76"/>
      <c r="AP133" s="76"/>
      <c r="AQ133" s="76"/>
      <c r="AR133" s="76"/>
      <c r="AS133" s="80"/>
      <c r="AT133" s="79"/>
      <c r="AU133" s="76"/>
      <c r="AV133" s="76"/>
      <c r="AW133" s="76"/>
      <c r="AX133" s="76"/>
      <c r="AY133" s="80"/>
      <c r="AZ133" s="79"/>
      <c r="BA133" s="76"/>
      <c r="BB133" s="76"/>
      <c r="BC133" s="76"/>
      <c r="BD133" s="76"/>
      <c r="BE133" s="80"/>
      <c r="BF133" s="79"/>
      <c r="BG133" s="76"/>
      <c r="BH133" s="76"/>
      <c r="BI133" s="76"/>
      <c r="BJ133" s="76"/>
      <c r="BK133" s="80"/>
      <c r="BM133" s="125">
        <f t="shared" ref="BM133:BM134" si="304">SUM(V133:AA133)</f>
        <v>1</v>
      </c>
      <c r="BN133" s="126">
        <f t="shared" ref="BN133:BN134" si="305">SUM(AB133:AG133)</f>
        <v>0</v>
      </c>
      <c r="BO133" s="126">
        <f t="shared" ref="BO133:BO134" si="306">SUM(AH133:AM133)</f>
        <v>0</v>
      </c>
      <c r="BP133" s="126">
        <f t="shared" ref="BP133:BP134" si="307">SUM(AN133:AS133)</f>
        <v>0</v>
      </c>
      <c r="BQ133" s="126">
        <f>SUM(AT133:AY133)</f>
        <v>0</v>
      </c>
      <c r="BR133" s="126">
        <f t="shared" ref="BR133:BS134" si="308">SUM(AZ133:BE133)</f>
        <v>0</v>
      </c>
      <c r="BS133" s="127">
        <f t="shared" ref="BS133:BS134" si="309">SUM(BF133:BK133)</f>
        <v>0</v>
      </c>
      <c r="BT133" s="74"/>
      <c r="BU133" s="125">
        <f t="shared" ref="BU133:BU134" si="310">(BM133/$K133)*$O133</f>
        <v>4</v>
      </c>
      <c r="BV133" s="126">
        <f t="shared" ref="BV133:BV134" si="311">(BN133/$K133)*$O133</f>
        <v>0</v>
      </c>
      <c r="BW133" s="126">
        <f t="shared" ref="BW133:BW134" si="312">(BO133/$K133)*$O133</f>
        <v>0</v>
      </c>
      <c r="BX133" s="126">
        <f t="shared" ref="BX133:BX134" si="313">(BP133/$K133)*$O133</f>
        <v>0</v>
      </c>
      <c r="BY133" s="126">
        <f t="shared" ref="BY133:CA134" si="314">(BQ133/$K133)*$O133</f>
        <v>0</v>
      </c>
      <c r="BZ133" s="126">
        <f t="shared" si="314"/>
        <v>0</v>
      </c>
      <c r="CA133" s="126">
        <f t="shared" si="314"/>
        <v>0</v>
      </c>
    </row>
    <row r="134" spans="1:79">
      <c r="A134" s="147" t="str">
        <f t="shared" si="169"/>
        <v>D</v>
      </c>
      <c r="B134" s="148">
        <f t="shared" si="170"/>
        <v>40000</v>
      </c>
      <c r="C134" s="149" t="s">
        <v>126</v>
      </c>
      <c r="D134" s="150" t="s">
        <v>0</v>
      </c>
      <c r="E134" s="150" t="s">
        <v>0</v>
      </c>
      <c r="F134" s="145" t="s">
        <v>72</v>
      </c>
      <c r="G134" s="150" t="s">
        <v>54</v>
      </c>
      <c r="H134" s="150" t="s">
        <v>0</v>
      </c>
      <c r="I134" s="150" t="s">
        <v>0</v>
      </c>
      <c r="J134" s="151" t="s">
        <v>0</v>
      </c>
      <c r="K134" s="13">
        <v>21.5</v>
      </c>
      <c r="L134" s="12" t="s">
        <v>67</v>
      </c>
      <c r="M134" s="13">
        <v>16.13</v>
      </c>
      <c r="N134" s="13">
        <v>0</v>
      </c>
      <c r="O134" s="14">
        <v>16.13</v>
      </c>
      <c r="P134" s="113">
        <f t="shared" si="299"/>
        <v>21.5</v>
      </c>
      <c r="Q134" s="114">
        <f t="shared" si="300"/>
        <v>0</v>
      </c>
      <c r="R134" s="114">
        <f t="shared" si="301"/>
        <v>16.13</v>
      </c>
      <c r="S134" s="114">
        <f t="shared" si="302"/>
        <v>0</v>
      </c>
      <c r="T134" s="93">
        <f t="shared" si="303"/>
        <v>1</v>
      </c>
      <c r="U134" t="s">
        <v>0</v>
      </c>
      <c r="V134" s="79"/>
      <c r="W134" s="76"/>
      <c r="X134" s="76"/>
      <c r="Y134" s="76"/>
      <c r="Z134" s="76"/>
      <c r="AA134" s="80"/>
      <c r="AB134" s="79"/>
      <c r="AC134" s="76">
        <v>15</v>
      </c>
      <c r="AD134" s="76">
        <v>6</v>
      </c>
      <c r="AE134" s="76"/>
      <c r="AF134" s="76"/>
      <c r="AG134" s="80"/>
      <c r="AH134" s="79">
        <v>0.5</v>
      </c>
      <c r="AI134" s="76"/>
      <c r="AJ134" s="76"/>
      <c r="AK134" s="76"/>
      <c r="AL134" s="76"/>
      <c r="AM134" s="80"/>
      <c r="AN134" s="79"/>
      <c r="AO134" s="76"/>
      <c r="AP134" s="76"/>
      <c r="AQ134" s="76"/>
      <c r="AR134" s="76"/>
      <c r="AS134" s="80"/>
      <c r="AT134" s="79"/>
      <c r="AU134" s="76"/>
      <c r="AV134" s="76"/>
      <c r="AW134" s="76"/>
      <c r="AX134" s="76"/>
      <c r="AY134" s="80"/>
      <c r="AZ134" s="79"/>
      <c r="BA134" s="76"/>
      <c r="BB134" s="76"/>
      <c r="BC134" s="76"/>
      <c r="BD134" s="76"/>
      <c r="BE134" s="80"/>
      <c r="BF134" s="79"/>
      <c r="BG134" s="76"/>
      <c r="BH134" s="76"/>
      <c r="BI134" s="76"/>
      <c r="BJ134" s="76"/>
      <c r="BK134" s="80"/>
      <c r="BM134" s="125">
        <f t="shared" si="304"/>
        <v>0</v>
      </c>
      <c r="BN134" s="126">
        <f t="shared" si="305"/>
        <v>21</v>
      </c>
      <c r="BO134" s="126">
        <f t="shared" si="306"/>
        <v>0.5</v>
      </c>
      <c r="BP134" s="126">
        <f t="shared" si="307"/>
        <v>0</v>
      </c>
      <c r="BQ134" s="126">
        <f>SUM(AT134:AY134)</f>
        <v>0</v>
      </c>
      <c r="BR134" s="126">
        <f t="shared" si="308"/>
        <v>0</v>
      </c>
      <c r="BS134" s="127">
        <f t="shared" si="309"/>
        <v>0</v>
      </c>
      <c r="BT134" s="74"/>
      <c r="BU134" s="125">
        <f t="shared" si="310"/>
        <v>0</v>
      </c>
      <c r="BV134" s="126">
        <f t="shared" si="311"/>
        <v>15.754883720930231</v>
      </c>
      <c r="BW134" s="126">
        <f t="shared" si="312"/>
        <v>0.37511627906976741</v>
      </c>
      <c r="BX134" s="126">
        <f t="shared" si="313"/>
        <v>0</v>
      </c>
      <c r="BY134" s="126">
        <f t="shared" si="314"/>
        <v>0</v>
      </c>
      <c r="BZ134" s="126">
        <f t="shared" si="314"/>
        <v>0</v>
      </c>
      <c r="CA134" s="126">
        <f t="shared" si="314"/>
        <v>0</v>
      </c>
    </row>
    <row r="135" spans="1:79" ht="15.75">
      <c r="A135" s="152" t="str">
        <f t="shared" si="169"/>
        <v>P</v>
      </c>
      <c r="B135" s="153">
        <f t="shared" si="170"/>
        <v>40000</v>
      </c>
      <c r="C135" s="154" t="s">
        <v>128</v>
      </c>
      <c r="D135" s="155" t="s">
        <v>0</v>
      </c>
      <c r="E135" s="155" t="s">
        <v>0</v>
      </c>
      <c r="F135" s="156" t="s">
        <v>129</v>
      </c>
      <c r="G135" s="155" t="s">
        <v>0</v>
      </c>
      <c r="H135" s="155" t="s">
        <v>0</v>
      </c>
      <c r="I135" s="155" t="s">
        <v>0</v>
      </c>
      <c r="J135" s="157" t="s">
        <v>0</v>
      </c>
      <c r="K135" s="9">
        <v>5.8</v>
      </c>
      <c r="L135" s="8" t="s">
        <v>67</v>
      </c>
      <c r="M135" s="9">
        <v>26.35</v>
      </c>
      <c r="N135" s="9">
        <v>0</v>
      </c>
      <c r="O135" s="10">
        <v>26.35</v>
      </c>
      <c r="P135" s="111"/>
      <c r="Q135" s="112"/>
      <c r="R135" s="112">
        <f>SUMIFS(R136:R$415,$C136:$C$415,$C135)</f>
        <v>26.35</v>
      </c>
      <c r="S135" s="112">
        <f>SUMIFS(S136:S$415,$C136:$C$415,$C135)</f>
        <v>0</v>
      </c>
      <c r="T135" s="92">
        <f>R135/O135</f>
        <v>1</v>
      </c>
      <c r="V135" s="77"/>
      <c r="W135" s="75"/>
      <c r="X135" s="75"/>
      <c r="Y135" s="75"/>
      <c r="Z135" s="75"/>
      <c r="AA135" s="78"/>
      <c r="AB135" s="77"/>
      <c r="AC135" s="75"/>
      <c r="AD135" s="75"/>
      <c r="AE135" s="75"/>
      <c r="AF135" s="75"/>
      <c r="AG135" s="78"/>
      <c r="AH135" s="77"/>
      <c r="AI135" s="75"/>
      <c r="AJ135" s="75"/>
      <c r="AK135" s="75"/>
      <c r="AL135" s="75"/>
      <c r="AM135" s="78"/>
      <c r="AN135" s="77"/>
      <c r="AO135" s="75"/>
      <c r="AP135" s="75"/>
      <c r="AQ135" s="75"/>
      <c r="AR135" s="75"/>
      <c r="AS135" s="78"/>
      <c r="AT135" s="77"/>
      <c r="AU135" s="75"/>
      <c r="AV135" s="75"/>
      <c r="AW135" s="75"/>
      <c r="AX135" s="75"/>
      <c r="AY135" s="78"/>
      <c r="AZ135" s="77"/>
      <c r="BA135" s="75"/>
      <c r="BB135" s="75"/>
      <c r="BC135" s="75"/>
      <c r="BD135" s="75"/>
      <c r="BE135" s="78"/>
      <c r="BF135" s="77"/>
      <c r="BG135" s="75"/>
      <c r="BH135" s="75"/>
      <c r="BI135" s="75"/>
      <c r="BJ135" s="75"/>
      <c r="BK135" s="78"/>
      <c r="BM135" s="122"/>
      <c r="BN135" s="123"/>
      <c r="BO135" s="123"/>
      <c r="BP135" s="123"/>
      <c r="BQ135" s="123"/>
      <c r="BR135" s="123"/>
      <c r="BS135" s="124"/>
      <c r="BT135" s="74"/>
      <c r="BU135" s="122"/>
      <c r="BV135" s="123"/>
      <c r="BW135" s="123"/>
      <c r="BX135" s="123"/>
      <c r="BY135" s="123"/>
      <c r="BZ135" s="123"/>
      <c r="CA135" s="123"/>
    </row>
    <row r="136" spans="1:79">
      <c r="A136" s="147" t="str">
        <f t="shared" si="169"/>
        <v>D</v>
      </c>
      <c r="B136" s="148">
        <f t="shared" si="170"/>
        <v>40000</v>
      </c>
      <c r="C136" s="149" t="s">
        <v>128</v>
      </c>
      <c r="D136" s="150" t="s">
        <v>0</v>
      </c>
      <c r="E136" s="150" t="s">
        <v>0</v>
      </c>
      <c r="F136" s="145" t="s">
        <v>68</v>
      </c>
      <c r="G136" s="150" t="s">
        <v>0</v>
      </c>
      <c r="H136" s="150" t="s">
        <v>0</v>
      </c>
      <c r="I136" s="150" t="s">
        <v>0</v>
      </c>
      <c r="J136" s="151" t="s">
        <v>0</v>
      </c>
      <c r="K136" s="13">
        <v>1</v>
      </c>
      <c r="L136" s="12" t="s">
        <v>32</v>
      </c>
      <c r="M136" s="13">
        <v>4</v>
      </c>
      <c r="N136" s="13">
        <v>0</v>
      </c>
      <c r="O136" s="14">
        <v>4</v>
      </c>
      <c r="P136" s="113">
        <f t="shared" ref="P136:P140" si="315">SUM(BM136:BS136)</f>
        <v>1</v>
      </c>
      <c r="Q136" s="114">
        <f t="shared" ref="Q136:Q140" si="316">K136-P136</f>
        <v>0</v>
      </c>
      <c r="R136" s="114">
        <f t="shared" ref="R136:R140" si="317">SUM(BU136:CA136)</f>
        <v>4</v>
      </c>
      <c r="S136" s="114">
        <f t="shared" ref="S136:S140" si="318">O136-R136</f>
        <v>0</v>
      </c>
      <c r="T136" s="93">
        <f t="shared" ref="T136:T140" si="319">R136/O136</f>
        <v>1</v>
      </c>
      <c r="U136" t="s">
        <v>0</v>
      </c>
      <c r="V136" s="79"/>
      <c r="W136" s="76"/>
      <c r="X136" s="76">
        <v>1</v>
      </c>
      <c r="Y136" s="76"/>
      <c r="Z136" s="76"/>
      <c r="AA136" s="80"/>
      <c r="AB136" s="79"/>
      <c r="AC136" s="76"/>
      <c r="AD136" s="76"/>
      <c r="AE136" s="76"/>
      <c r="AF136" s="76"/>
      <c r="AG136" s="80"/>
      <c r="AH136" s="79"/>
      <c r="AI136" s="76"/>
      <c r="AJ136" s="76"/>
      <c r="AK136" s="76"/>
      <c r="AL136" s="76"/>
      <c r="AM136" s="80"/>
      <c r="AN136" s="79"/>
      <c r="AO136" s="76"/>
      <c r="AP136" s="76"/>
      <c r="AQ136" s="76"/>
      <c r="AR136" s="76"/>
      <c r="AS136" s="80"/>
      <c r="AT136" s="79"/>
      <c r="AU136" s="76"/>
      <c r="AV136" s="76"/>
      <c r="AW136" s="76"/>
      <c r="AX136" s="76"/>
      <c r="AY136" s="80"/>
      <c r="AZ136" s="79"/>
      <c r="BA136" s="76"/>
      <c r="BB136" s="76"/>
      <c r="BC136" s="76"/>
      <c r="BD136" s="76"/>
      <c r="BE136" s="80"/>
      <c r="BF136" s="79"/>
      <c r="BG136" s="76"/>
      <c r="BH136" s="76"/>
      <c r="BI136" s="76"/>
      <c r="BJ136" s="76"/>
      <c r="BK136" s="80"/>
      <c r="BM136" s="125">
        <f t="shared" ref="BM136:BM140" si="320">SUM(V136:AA136)</f>
        <v>1</v>
      </c>
      <c r="BN136" s="126">
        <f t="shared" ref="BN136:BN140" si="321">SUM(AB136:AG136)</f>
        <v>0</v>
      </c>
      <c r="BO136" s="126">
        <f t="shared" ref="BO136:BO140" si="322">SUM(AH136:AM136)</f>
        <v>0</v>
      </c>
      <c r="BP136" s="126">
        <f t="shared" ref="BP136:BP140" si="323">SUM(AN136:AS136)</f>
        <v>0</v>
      </c>
      <c r="BQ136" s="126">
        <f>SUM(AT136:AY136)</f>
        <v>0</v>
      </c>
      <c r="BR136" s="126">
        <f t="shared" ref="BR136:BS140" si="324">SUM(AZ136:BE136)</f>
        <v>0</v>
      </c>
      <c r="BS136" s="127">
        <f t="shared" ref="BS136:BS140" si="325">SUM(BF136:BK136)</f>
        <v>0</v>
      </c>
      <c r="BT136" s="74"/>
      <c r="BU136" s="125">
        <f t="shared" ref="BU136:BU140" si="326">(BM136/$K136)*$O136</f>
        <v>4</v>
      </c>
      <c r="BV136" s="126">
        <f t="shared" ref="BV136:BV140" si="327">(BN136/$K136)*$O136</f>
        <v>0</v>
      </c>
      <c r="BW136" s="126">
        <f t="shared" ref="BW136:BW140" si="328">(BO136/$K136)*$O136</f>
        <v>0</v>
      </c>
      <c r="BX136" s="126">
        <f t="shared" ref="BX136:BX140" si="329">(BP136/$K136)*$O136</f>
        <v>0</v>
      </c>
      <c r="BY136" s="126">
        <f t="shared" ref="BY136:CA140" si="330">(BQ136/$K136)*$O136</f>
        <v>0</v>
      </c>
      <c r="BZ136" s="126">
        <f t="shared" si="330"/>
        <v>0</v>
      </c>
      <c r="CA136" s="126">
        <f t="shared" si="330"/>
        <v>0</v>
      </c>
    </row>
    <row r="137" spans="1:79">
      <c r="A137" s="147" t="str">
        <f t="shared" si="169"/>
        <v>D</v>
      </c>
      <c r="B137" s="148">
        <f t="shared" si="170"/>
        <v>40000</v>
      </c>
      <c r="C137" s="149" t="s">
        <v>128</v>
      </c>
      <c r="D137" s="150" t="s">
        <v>0</v>
      </c>
      <c r="E137" s="150" t="s">
        <v>0</v>
      </c>
      <c r="F137" s="145" t="s">
        <v>69</v>
      </c>
      <c r="G137" s="150" t="s">
        <v>0</v>
      </c>
      <c r="H137" s="150" t="s">
        <v>0</v>
      </c>
      <c r="I137" s="150" t="s">
        <v>0</v>
      </c>
      <c r="J137" s="151" t="s">
        <v>0</v>
      </c>
      <c r="K137" s="13">
        <v>4</v>
      </c>
      <c r="L137" s="12" t="s">
        <v>32</v>
      </c>
      <c r="M137" s="13">
        <v>8</v>
      </c>
      <c r="N137" s="13">
        <v>0</v>
      </c>
      <c r="O137" s="14">
        <v>8</v>
      </c>
      <c r="P137" s="113">
        <f t="shared" si="315"/>
        <v>4</v>
      </c>
      <c r="Q137" s="114">
        <f t="shared" si="316"/>
        <v>0</v>
      </c>
      <c r="R137" s="114">
        <f t="shared" si="317"/>
        <v>8</v>
      </c>
      <c r="S137" s="114">
        <f t="shared" si="318"/>
        <v>0</v>
      </c>
      <c r="T137" s="93">
        <f t="shared" si="319"/>
        <v>1</v>
      </c>
      <c r="U137" t="s">
        <v>0</v>
      </c>
      <c r="V137" s="79"/>
      <c r="W137" s="76"/>
      <c r="X137" s="76"/>
      <c r="Y137" s="76"/>
      <c r="Z137" s="76"/>
      <c r="AA137" s="80"/>
      <c r="AB137" s="79"/>
      <c r="AC137" s="76"/>
      <c r="AD137" s="76">
        <v>4</v>
      </c>
      <c r="AE137" s="76"/>
      <c r="AF137" s="76"/>
      <c r="AG137" s="80"/>
      <c r="AH137" s="79"/>
      <c r="AI137" s="76"/>
      <c r="AJ137" s="76"/>
      <c r="AK137" s="76"/>
      <c r="AL137" s="76"/>
      <c r="AM137" s="80"/>
      <c r="AN137" s="79"/>
      <c r="AO137" s="76"/>
      <c r="AP137" s="76"/>
      <c r="AQ137" s="76"/>
      <c r="AR137" s="76"/>
      <c r="AS137" s="80"/>
      <c r="AT137" s="79"/>
      <c r="AU137" s="76"/>
      <c r="AV137" s="76"/>
      <c r="AW137" s="76"/>
      <c r="AX137" s="76"/>
      <c r="AY137" s="80"/>
      <c r="AZ137" s="79"/>
      <c r="BA137" s="76"/>
      <c r="BB137" s="76"/>
      <c r="BC137" s="76"/>
      <c r="BD137" s="76"/>
      <c r="BE137" s="80"/>
      <c r="BF137" s="79"/>
      <c r="BG137" s="76"/>
      <c r="BH137" s="76"/>
      <c r="BI137" s="76"/>
      <c r="BJ137" s="76"/>
      <c r="BK137" s="80"/>
      <c r="BM137" s="125">
        <f t="shared" si="320"/>
        <v>0</v>
      </c>
      <c r="BN137" s="126">
        <f t="shared" si="321"/>
        <v>4</v>
      </c>
      <c r="BO137" s="126">
        <f t="shared" si="322"/>
        <v>0</v>
      </c>
      <c r="BP137" s="126">
        <f t="shared" si="323"/>
        <v>0</v>
      </c>
      <c r="BQ137" s="126">
        <f>SUM(AT137:AY137)</f>
        <v>0</v>
      </c>
      <c r="BR137" s="126">
        <f t="shared" si="324"/>
        <v>0</v>
      </c>
      <c r="BS137" s="127">
        <f t="shared" si="325"/>
        <v>0</v>
      </c>
      <c r="BT137" s="74"/>
      <c r="BU137" s="125">
        <f t="shared" si="326"/>
        <v>0</v>
      </c>
      <c r="BV137" s="126">
        <f t="shared" si="327"/>
        <v>8</v>
      </c>
      <c r="BW137" s="126">
        <f t="shared" si="328"/>
        <v>0</v>
      </c>
      <c r="BX137" s="126">
        <f t="shared" si="329"/>
        <v>0</v>
      </c>
      <c r="BY137" s="126">
        <f t="shared" si="330"/>
        <v>0</v>
      </c>
      <c r="BZ137" s="126">
        <f t="shared" si="330"/>
        <v>0</v>
      </c>
      <c r="CA137" s="126">
        <f t="shared" si="330"/>
        <v>0</v>
      </c>
    </row>
    <row r="138" spans="1:79">
      <c r="A138" s="147" t="str">
        <f t="shared" si="169"/>
        <v>D</v>
      </c>
      <c r="B138" s="148">
        <f t="shared" si="170"/>
        <v>40000</v>
      </c>
      <c r="C138" s="149" t="s">
        <v>128</v>
      </c>
      <c r="D138" s="150" t="s">
        <v>0</v>
      </c>
      <c r="E138" s="150" t="s">
        <v>0</v>
      </c>
      <c r="F138" s="145" t="s">
        <v>70</v>
      </c>
      <c r="G138" s="150" t="s">
        <v>0</v>
      </c>
      <c r="H138" s="150" t="s">
        <v>0</v>
      </c>
      <c r="I138" s="150" t="s">
        <v>0</v>
      </c>
      <c r="J138" s="151" t="s">
        <v>0</v>
      </c>
      <c r="K138" s="13">
        <v>4</v>
      </c>
      <c r="L138" s="12" t="s">
        <v>32</v>
      </c>
      <c r="M138" s="13">
        <v>6</v>
      </c>
      <c r="N138" s="13">
        <v>0</v>
      </c>
      <c r="O138" s="14">
        <v>6</v>
      </c>
      <c r="P138" s="113">
        <f t="shared" si="315"/>
        <v>4</v>
      </c>
      <c r="Q138" s="114">
        <f t="shared" si="316"/>
        <v>0</v>
      </c>
      <c r="R138" s="114">
        <f t="shared" si="317"/>
        <v>6</v>
      </c>
      <c r="S138" s="114">
        <f t="shared" si="318"/>
        <v>0</v>
      </c>
      <c r="T138" s="93">
        <f t="shared" si="319"/>
        <v>1</v>
      </c>
      <c r="U138" t="s">
        <v>0</v>
      </c>
      <c r="V138" s="79"/>
      <c r="W138" s="76"/>
      <c r="X138" s="76"/>
      <c r="Y138" s="76">
        <v>4</v>
      </c>
      <c r="Z138" s="76"/>
      <c r="AA138" s="80"/>
      <c r="AB138" s="79"/>
      <c r="AC138" s="76"/>
      <c r="AD138" s="76"/>
      <c r="AE138" s="76"/>
      <c r="AF138" s="76"/>
      <c r="AG138" s="80"/>
      <c r="AH138" s="79"/>
      <c r="AI138" s="76"/>
      <c r="AJ138" s="76"/>
      <c r="AK138" s="76"/>
      <c r="AL138" s="76"/>
      <c r="AM138" s="80"/>
      <c r="AN138" s="79"/>
      <c r="AO138" s="76"/>
      <c r="AP138" s="76"/>
      <c r="AQ138" s="76"/>
      <c r="AR138" s="76"/>
      <c r="AS138" s="80"/>
      <c r="AT138" s="79"/>
      <c r="AU138" s="76"/>
      <c r="AV138" s="76"/>
      <c r="AW138" s="76"/>
      <c r="AX138" s="76"/>
      <c r="AY138" s="80"/>
      <c r="AZ138" s="79"/>
      <c r="BA138" s="76"/>
      <c r="BB138" s="76"/>
      <c r="BC138" s="76"/>
      <c r="BD138" s="76"/>
      <c r="BE138" s="80"/>
      <c r="BF138" s="79"/>
      <c r="BG138" s="76"/>
      <c r="BH138" s="76"/>
      <c r="BI138" s="76"/>
      <c r="BJ138" s="76"/>
      <c r="BK138" s="80"/>
      <c r="BM138" s="125">
        <f t="shared" si="320"/>
        <v>4</v>
      </c>
      <c r="BN138" s="126">
        <f t="shared" si="321"/>
        <v>0</v>
      </c>
      <c r="BO138" s="126">
        <f t="shared" si="322"/>
        <v>0</v>
      </c>
      <c r="BP138" s="126">
        <f t="shared" si="323"/>
        <v>0</v>
      </c>
      <c r="BQ138" s="126">
        <f>SUM(AT138:AY138)</f>
        <v>0</v>
      </c>
      <c r="BR138" s="126">
        <f t="shared" si="324"/>
        <v>0</v>
      </c>
      <c r="BS138" s="127">
        <f t="shared" si="325"/>
        <v>0</v>
      </c>
      <c r="BT138" s="74"/>
      <c r="BU138" s="125">
        <f t="shared" si="326"/>
        <v>6</v>
      </c>
      <c r="BV138" s="126">
        <f t="shared" si="327"/>
        <v>0</v>
      </c>
      <c r="BW138" s="126">
        <f t="shared" si="328"/>
        <v>0</v>
      </c>
      <c r="BX138" s="126">
        <f t="shared" si="329"/>
        <v>0</v>
      </c>
      <c r="BY138" s="126">
        <f t="shared" si="330"/>
        <v>0</v>
      </c>
      <c r="BZ138" s="126">
        <f t="shared" si="330"/>
        <v>0</v>
      </c>
      <c r="CA138" s="126">
        <f t="shared" si="330"/>
        <v>0</v>
      </c>
    </row>
    <row r="139" spans="1:79">
      <c r="A139" s="147" t="str">
        <f t="shared" ref="A139:A202" si="331">IF(C139=C138,"D",(IF(C139="WBS","W","P")))</f>
        <v>D</v>
      </c>
      <c r="B139" s="148">
        <f t="shared" ref="B139:B202" si="332">IF(C139="WBS",B140,VALUE(IF(C139=0,0,IF(LEN(C139)=5,LEFT(C139,1)&amp;"0000",LEFT(C139,2)&amp;"0000"))))</f>
        <v>40000</v>
      </c>
      <c r="C139" s="149" t="s">
        <v>128</v>
      </c>
      <c r="D139" s="150" t="s">
        <v>0</v>
      </c>
      <c r="E139" s="150" t="s">
        <v>0</v>
      </c>
      <c r="F139" s="145" t="s">
        <v>71</v>
      </c>
      <c r="G139" s="150" t="s">
        <v>0</v>
      </c>
      <c r="H139" s="150" t="s">
        <v>0</v>
      </c>
      <c r="I139" s="150" t="s">
        <v>0</v>
      </c>
      <c r="J139" s="151" t="s">
        <v>0</v>
      </c>
      <c r="K139" s="13">
        <v>4</v>
      </c>
      <c r="L139" s="12" t="s">
        <v>32</v>
      </c>
      <c r="M139" s="13">
        <v>4</v>
      </c>
      <c r="N139" s="13">
        <v>0</v>
      </c>
      <c r="O139" s="14">
        <v>4</v>
      </c>
      <c r="P139" s="113">
        <f t="shared" si="315"/>
        <v>4</v>
      </c>
      <c r="Q139" s="114">
        <f t="shared" si="316"/>
        <v>0</v>
      </c>
      <c r="R139" s="114">
        <f t="shared" si="317"/>
        <v>4</v>
      </c>
      <c r="S139" s="114">
        <f t="shared" si="318"/>
        <v>0</v>
      </c>
      <c r="T139" s="93">
        <f t="shared" si="319"/>
        <v>1</v>
      </c>
      <c r="U139" t="s">
        <v>0</v>
      </c>
      <c r="V139" s="79"/>
      <c r="W139" s="76"/>
      <c r="X139" s="76"/>
      <c r="Y139" s="76"/>
      <c r="Z139" s="76"/>
      <c r="AA139" s="80"/>
      <c r="AB139" s="79"/>
      <c r="AC139" s="76"/>
      <c r="AD139" s="76">
        <v>4</v>
      </c>
      <c r="AE139" s="76"/>
      <c r="AF139" s="76"/>
      <c r="AG139" s="80"/>
      <c r="AH139" s="79"/>
      <c r="AI139" s="76"/>
      <c r="AJ139" s="76"/>
      <c r="AK139" s="76"/>
      <c r="AL139" s="76"/>
      <c r="AM139" s="80"/>
      <c r="AN139" s="79"/>
      <c r="AO139" s="76"/>
      <c r="AP139" s="76"/>
      <c r="AQ139" s="76"/>
      <c r="AR139" s="76"/>
      <c r="AS139" s="80"/>
      <c r="AT139" s="79"/>
      <c r="AU139" s="76"/>
      <c r="AV139" s="76"/>
      <c r="AW139" s="76"/>
      <c r="AX139" s="76"/>
      <c r="AY139" s="80"/>
      <c r="AZ139" s="79"/>
      <c r="BA139" s="76"/>
      <c r="BB139" s="76"/>
      <c r="BC139" s="76"/>
      <c r="BD139" s="76"/>
      <c r="BE139" s="80"/>
      <c r="BF139" s="79"/>
      <c r="BG139" s="76"/>
      <c r="BH139" s="76"/>
      <c r="BI139" s="76"/>
      <c r="BJ139" s="76"/>
      <c r="BK139" s="80"/>
      <c r="BM139" s="125">
        <f t="shared" si="320"/>
        <v>0</v>
      </c>
      <c r="BN139" s="126">
        <f t="shared" si="321"/>
        <v>4</v>
      </c>
      <c r="BO139" s="126">
        <f t="shared" si="322"/>
        <v>0</v>
      </c>
      <c r="BP139" s="126">
        <f t="shared" si="323"/>
        <v>0</v>
      </c>
      <c r="BQ139" s="126">
        <f>SUM(AT139:AY139)</f>
        <v>0</v>
      </c>
      <c r="BR139" s="126">
        <f t="shared" si="324"/>
        <v>0</v>
      </c>
      <c r="BS139" s="127">
        <f t="shared" si="325"/>
        <v>0</v>
      </c>
      <c r="BT139" s="74"/>
      <c r="BU139" s="125">
        <f t="shared" si="326"/>
        <v>0</v>
      </c>
      <c r="BV139" s="126">
        <f t="shared" si="327"/>
        <v>4</v>
      </c>
      <c r="BW139" s="126">
        <f t="shared" si="328"/>
        <v>0</v>
      </c>
      <c r="BX139" s="126">
        <f t="shared" si="329"/>
        <v>0</v>
      </c>
      <c r="BY139" s="126">
        <f t="shared" si="330"/>
        <v>0</v>
      </c>
      <c r="BZ139" s="126">
        <f t="shared" si="330"/>
        <v>0</v>
      </c>
      <c r="CA139" s="126">
        <f t="shared" si="330"/>
        <v>0</v>
      </c>
    </row>
    <row r="140" spans="1:79">
      <c r="A140" s="147" t="str">
        <f t="shared" si="331"/>
        <v>D</v>
      </c>
      <c r="B140" s="148">
        <f t="shared" si="332"/>
        <v>40000</v>
      </c>
      <c r="C140" s="149" t="s">
        <v>128</v>
      </c>
      <c r="D140" s="150" t="s">
        <v>0</v>
      </c>
      <c r="E140" s="150" t="s">
        <v>0</v>
      </c>
      <c r="F140" s="145" t="s">
        <v>72</v>
      </c>
      <c r="G140" s="150" t="s">
        <v>0</v>
      </c>
      <c r="H140" s="150" t="s">
        <v>0</v>
      </c>
      <c r="I140" s="150" t="s">
        <v>0</v>
      </c>
      <c r="J140" s="151" t="s">
        <v>0</v>
      </c>
      <c r="K140" s="13">
        <v>5.8</v>
      </c>
      <c r="L140" s="12" t="s">
        <v>67</v>
      </c>
      <c r="M140" s="13">
        <v>4.3499999999999996</v>
      </c>
      <c r="N140" s="13">
        <v>0</v>
      </c>
      <c r="O140" s="14">
        <v>4.3499999999999996</v>
      </c>
      <c r="P140" s="113">
        <f t="shared" si="315"/>
        <v>5.8</v>
      </c>
      <c r="Q140" s="114">
        <f t="shared" si="316"/>
        <v>0</v>
      </c>
      <c r="R140" s="114">
        <f t="shared" si="317"/>
        <v>4.3499999999999996</v>
      </c>
      <c r="S140" s="114">
        <f t="shared" si="318"/>
        <v>0</v>
      </c>
      <c r="T140" s="93">
        <f t="shared" si="319"/>
        <v>1</v>
      </c>
      <c r="U140" t="s">
        <v>0</v>
      </c>
      <c r="V140" s="79"/>
      <c r="W140" s="76"/>
      <c r="X140" s="76"/>
      <c r="Y140" s="76"/>
      <c r="Z140" s="76"/>
      <c r="AA140" s="80"/>
      <c r="AB140" s="79"/>
      <c r="AC140" s="76"/>
      <c r="AD140" s="76"/>
      <c r="AE140" s="76"/>
      <c r="AF140" s="76"/>
      <c r="AG140" s="80"/>
      <c r="AH140" s="79"/>
      <c r="AI140" s="76">
        <v>5.8</v>
      </c>
      <c r="AJ140" s="76"/>
      <c r="AK140" s="76"/>
      <c r="AL140" s="76"/>
      <c r="AM140" s="80"/>
      <c r="AN140" s="79"/>
      <c r="AO140" s="76"/>
      <c r="AP140" s="76"/>
      <c r="AQ140" s="76"/>
      <c r="AR140" s="76"/>
      <c r="AS140" s="80"/>
      <c r="AT140" s="79"/>
      <c r="AU140" s="76"/>
      <c r="AV140" s="76"/>
      <c r="AW140" s="76"/>
      <c r="AX140" s="76"/>
      <c r="AY140" s="80"/>
      <c r="AZ140" s="79"/>
      <c r="BA140" s="76"/>
      <c r="BB140" s="76"/>
      <c r="BC140" s="76"/>
      <c r="BD140" s="76"/>
      <c r="BE140" s="80"/>
      <c r="BF140" s="79"/>
      <c r="BG140" s="76"/>
      <c r="BH140" s="76"/>
      <c r="BI140" s="76"/>
      <c r="BJ140" s="76"/>
      <c r="BK140" s="80"/>
      <c r="BM140" s="125">
        <f t="shared" si="320"/>
        <v>0</v>
      </c>
      <c r="BN140" s="126">
        <f t="shared" si="321"/>
        <v>0</v>
      </c>
      <c r="BO140" s="126">
        <f t="shared" si="322"/>
        <v>5.8</v>
      </c>
      <c r="BP140" s="126">
        <f t="shared" si="323"/>
        <v>0</v>
      </c>
      <c r="BQ140" s="126">
        <f>SUM(AT140:AY140)</f>
        <v>0</v>
      </c>
      <c r="BR140" s="126">
        <f t="shared" si="324"/>
        <v>0</v>
      </c>
      <c r="BS140" s="127">
        <f t="shared" si="325"/>
        <v>0</v>
      </c>
      <c r="BT140" s="74"/>
      <c r="BU140" s="125">
        <f t="shared" si="326"/>
        <v>0</v>
      </c>
      <c r="BV140" s="126">
        <f t="shared" si="327"/>
        <v>0</v>
      </c>
      <c r="BW140" s="126">
        <f t="shared" si="328"/>
        <v>4.3499999999999996</v>
      </c>
      <c r="BX140" s="126">
        <f t="shared" si="329"/>
        <v>0</v>
      </c>
      <c r="BY140" s="126">
        <f t="shared" si="330"/>
        <v>0</v>
      </c>
      <c r="BZ140" s="126">
        <f t="shared" si="330"/>
        <v>0</v>
      </c>
      <c r="CA140" s="126">
        <f t="shared" si="330"/>
        <v>0</v>
      </c>
    </row>
    <row r="141" spans="1:79" ht="15.75">
      <c r="A141" s="152" t="str">
        <f t="shared" si="331"/>
        <v>P</v>
      </c>
      <c r="B141" s="153">
        <f t="shared" si="332"/>
        <v>40000</v>
      </c>
      <c r="C141" s="154" t="s">
        <v>130</v>
      </c>
      <c r="D141" s="155" t="s">
        <v>0</v>
      </c>
      <c r="E141" s="155" t="s">
        <v>0</v>
      </c>
      <c r="F141" s="156" t="s">
        <v>131</v>
      </c>
      <c r="G141" s="155" t="s">
        <v>0</v>
      </c>
      <c r="H141" s="155" t="s">
        <v>0</v>
      </c>
      <c r="I141" s="155" t="s">
        <v>0</v>
      </c>
      <c r="J141" s="157" t="s">
        <v>0</v>
      </c>
      <c r="K141" s="9">
        <v>4</v>
      </c>
      <c r="L141" s="8" t="s">
        <v>67</v>
      </c>
      <c r="M141" s="9">
        <v>25</v>
      </c>
      <c r="N141" s="9">
        <v>0</v>
      </c>
      <c r="O141" s="10">
        <v>25</v>
      </c>
      <c r="P141" s="111"/>
      <c r="Q141" s="112"/>
      <c r="R141" s="112">
        <f>SUMIFS(R142:R$415,$C142:$C$415,$C141)</f>
        <v>25</v>
      </c>
      <c r="S141" s="112">
        <f>SUMIFS(S142:S$415,$C142:$C$415,$C141)</f>
        <v>0</v>
      </c>
      <c r="T141" s="92">
        <f>R141/O141</f>
        <v>1</v>
      </c>
      <c r="V141" s="77"/>
      <c r="W141" s="75"/>
      <c r="X141" s="75"/>
      <c r="Y141" s="75"/>
      <c r="Z141" s="75"/>
      <c r="AA141" s="78"/>
      <c r="AB141" s="77"/>
      <c r="AC141" s="75"/>
      <c r="AD141" s="75"/>
      <c r="AE141" s="75"/>
      <c r="AF141" s="75"/>
      <c r="AG141" s="78"/>
      <c r="AH141" s="77"/>
      <c r="AI141" s="75"/>
      <c r="AJ141" s="75"/>
      <c r="AK141" s="75"/>
      <c r="AL141" s="75"/>
      <c r="AM141" s="78"/>
      <c r="AN141" s="77"/>
      <c r="AO141" s="75"/>
      <c r="AP141" s="75"/>
      <c r="AQ141" s="75"/>
      <c r="AR141" s="75"/>
      <c r="AS141" s="78"/>
      <c r="AT141" s="77"/>
      <c r="AU141" s="75"/>
      <c r="AV141" s="75"/>
      <c r="AW141" s="75"/>
      <c r="AX141" s="75"/>
      <c r="AY141" s="78"/>
      <c r="AZ141" s="77"/>
      <c r="BA141" s="75"/>
      <c r="BB141" s="75"/>
      <c r="BC141" s="75"/>
      <c r="BD141" s="75"/>
      <c r="BE141" s="78"/>
      <c r="BF141" s="77"/>
      <c r="BG141" s="75"/>
      <c r="BH141" s="75"/>
      <c r="BI141" s="75"/>
      <c r="BJ141" s="75"/>
      <c r="BK141" s="78"/>
      <c r="BM141" s="122"/>
      <c r="BN141" s="123"/>
      <c r="BO141" s="123"/>
      <c r="BP141" s="123"/>
      <c r="BQ141" s="123"/>
      <c r="BR141" s="123"/>
      <c r="BS141" s="124"/>
      <c r="BT141" s="74"/>
      <c r="BU141" s="122"/>
      <c r="BV141" s="123"/>
      <c r="BW141" s="123"/>
      <c r="BX141" s="123"/>
      <c r="BY141" s="123"/>
      <c r="BZ141" s="123"/>
      <c r="CA141" s="123"/>
    </row>
    <row r="142" spans="1:79">
      <c r="A142" s="147" t="str">
        <f t="shared" si="331"/>
        <v>D</v>
      </c>
      <c r="B142" s="148">
        <f t="shared" si="332"/>
        <v>40000</v>
      </c>
      <c r="C142" s="149" t="s">
        <v>130</v>
      </c>
      <c r="D142" s="150" t="s">
        <v>0</v>
      </c>
      <c r="E142" s="150" t="s">
        <v>0</v>
      </c>
      <c r="F142" s="145" t="s">
        <v>68</v>
      </c>
      <c r="G142" s="150" t="s">
        <v>0</v>
      </c>
      <c r="H142" s="150" t="s">
        <v>0</v>
      </c>
      <c r="I142" s="150" t="s">
        <v>0</v>
      </c>
      <c r="J142" s="151" t="s">
        <v>0</v>
      </c>
      <c r="K142" s="13">
        <v>1</v>
      </c>
      <c r="L142" s="12" t="s">
        <v>32</v>
      </c>
      <c r="M142" s="13">
        <v>4</v>
      </c>
      <c r="N142" s="13">
        <v>0</v>
      </c>
      <c r="O142" s="14">
        <v>4</v>
      </c>
      <c r="P142" s="113">
        <f t="shared" ref="P142:P146" si="333">SUM(BM142:BS142)</f>
        <v>1</v>
      </c>
      <c r="Q142" s="114">
        <f t="shared" ref="Q142:Q146" si="334">K142-P142</f>
        <v>0</v>
      </c>
      <c r="R142" s="114">
        <f t="shared" ref="R142:R146" si="335">SUM(BU142:CA142)</f>
        <v>4</v>
      </c>
      <c r="S142" s="114">
        <f t="shared" ref="S142:S146" si="336">O142-R142</f>
        <v>0</v>
      </c>
      <c r="T142" s="93">
        <f t="shared" ref="T142:T146" si="337">R142/O142</f>
        <v>1</v>
      </c>
      <c r="U142" t="s">
        <v>0</v>
      </c>
      <c r="V142" s="79"/>
      <c r="W142" s="76"/>
      <c r="X142" s="76">
        <v>1</v>
      </c>
      <c r="Y142" s="76"/>
      <c r="Z142" s="76"/>
      <c r="AA142" s="80"/>
      <c r="AB142" s="79"/>
      <c r="AC142" s="76"/>
      <c r="AD142" s="76"/>
      <c r="AE142" s="76"/>
      <c r="AF142" s="76"/>
      <c r="AG142" s="80"/>
      <c r="AH142" s="79"/>
      <c r="AI142" s="76"/>
      <c r="AJ142" s="76"/>
      <c r="AK142" s="76"/>
      <c r="AL142" s="76"/>
      <c r="AM142" s="80"/>
      <c r="AN142" s="79"/>
      <c r="AO142" s="76"/>
      <c r="AP142" s="76"/>
      <c r="AQ142" s="76"/>
      <c r="AR142" s="76"/>
      <c r="AS142" s="80"/>
      <c r="AT142" s="79"/>
      <c r="AU142" s="76"/>
      <c r="AV142" s="76"/>
      <c r="AW142" s="76"/>
      <c r="AX142" s="76"/>
      <c r="AY142" s="80"/>
      <c r="AZ142" s="79"/>
      <c r="BA142" s="76"/>
      <c r="BB142" s="76"/>
      <c r="BC142" s="76"/>
      <c r="BD142" s="76"/>
      <c r="BE142" s="80"/>
      <c r="BF142" s="79"/>
      <c r="BG142" s="76"/>
      <c r="BH142" s="76"/>
      <c r="BI142" s="76"/>
      <c r="BJ142" s="76"/>
      <c r="BK142" s="80"/>
      <c r="BM142" s="125">
        <f t="shared" ref="BM142:BM146" si="338">SUM(V142:AA142)</f>
        <v>1</v>
      </c>
      <c r="BN142" s="126">
        <f t="shared" ref="BN142:BN146" si="339">SUM(AB142:AG142)</f>
        <v>0</v>
      </c>
      <c r="BO142" s="126">
        <f t="shared" ref="BO142:BO146" si="340">SUM(AH142:AM142)</f>
        <v>0</v>
      </c>
      <c r="BP142" s="126">
        <f t="shared" ref="BP142:BP146" si="341">SUM(AN142:AS142)</f>
        <v>0</v>
      </c>
      <c r="BQ142" s="126">
        <f>SUM(AT142:AY142)</f>
        <v>0</v>
      </c>
      <c r="BR142" s="126">
        <f t="shared" ref="BR142:BS146" si="342">SUM(AZ142:BE142)</f>
        <v>0</v>
      </c>
      <c r="BS142" s="127">
        <f t="shared" ref="BS142:BS146" si="343">SUM(BF142:BK142)</f>
        <v>0</v>
      </c>
      <c r="BT142" s="74"/>
      <c r="BU142" s="125">
        <f t="shared" ref="BU142:BU146" si="344">(BM142/$K142)*$O142</f>
        <v>4</v>
      </c>
      <c r="BV142" s="126">
        <f t="shared" ref="BV142:BV146" si="345">(BN142/$K142)*$O142</f>
        <v>0</v>
      </c>
      <c r="BW142" s="126">
        <f t="shared" ref="BW142:BW146" si="346">(BO142/$K142)*$O142</f>
        <v>0</v>
      </c>
      <c r="BX142" s="126">
        <f t="shared" ref="BX142:BX146" si="347">(BP142/$K142)*$O142</f>
        <v>0</v>
      </c>
      <c r="BY142" s="126">
        <f t="shared" ref="BY142:CA146" si="348">(BQ142/$K142)*$O142</f>
        <v>0</v>
      </c>
      <c r="BZ142" s="126">
        <f t="shared" si="348"/>
        <v>0</v>
      </c>
      <c r="CA142" s="126">
        <f t="shared" si="348"/>
        <v>0</v>
      </c>
    </row>
    <row r="143" spans="1:79">
      <c r="A143" s="147" t="str">
        <f t="shared" si="331"/>
        <v>D</v>
      </c>
      <c r="B143" s="148">
        <f t="shared" si="332"/>
        <v>40000</v>
      </c>
      <c r="C143" s="149" t="s">
        <v>130</v>
      </c>
      <c r="D143" s="150" t="s">
        <v>0</v>
      </c>
      <c r="E143" s="150" t="s">
        <v>0</v>
      </c>
      <c r="F143" s="145" t="s">
        <v>69</v>
      </c>
      <c r="G143" s="150" t="s">
        <v>0</v>
      </c>
      <c r="H143" s="150" t="s">
        <v>0</v>
      </c>
      <c r="I143" s="150" t="s">
        <v>0</v>
      </c>
      <c r="J143" s="151" t="s">
        <v>0</v>
      </c>
      <c r="K143" s="13">
        <v>4</v>
      </c>
      <c r="L143" s="12" t="s">
        <v>32</v>
      </c>
      <c r="M143" s="13">
        <v>8</v>
      </c>
      <c r="N143" s="13">
        <v>0</v>
      </c>
      <c r="O143" s="14">
        <v>8</v>
      </c>
      <c r="P143" s="113">
        <f t="shared" si="333"/>
        <v>4</v>
      </c>
      <c r="Q143" s="114">
        <f t="shared" si="334"/>
        <v>0</v>
      </c>
      <c r="R143" s="114">
        <f t="shared" si="335"/>
        <v>8</v>
      </c>
      <c r="S143" s="114">
        <f t="shared" si="336"/>
        <v>0</v>
      </c>
      <c r="T143" s="93">
        <f t="shared" si="337"/>
        <v>1</v>
      </c>
      <c r="U143" t="s">
        <v>0</v>
      </c>
      <c r="V143" s="79"/>
      <c r="W143" s="76"/>
      <c r="X143" s="76"/>
      <c r="Y143" s="76"/>
      <c r="Z143" s="76"/>
      <c r="AA143" s="80"/>
      <c r="AB143" s="79"/>
      <c r="AC143" s="76"/>
      <c r="AD143" s="76"/>
      <c r="AE143" s="76"/>
      <c r="AF143" s="76"/>
      <c r="AG143" s="80"/>
      <c r="AH143" s="79">
        <v>4</v>
      </c>
      <c r="AI143" s="76"/>
      <c r="AJ143" s="76"/>
      <c r="AK143" s="76"/>
      <c r="AL143" s="76"/>
      <c r="AM143" s="80"/>
      <c r="AN143" s="79"/>
      <c r="AO143" s="76"/>
      <c r="AP143" s="76"/>
      <c r="AQ143" s="76"/>
      <c r="AR143" s="76"/>
      <c r="AS143" s="80"/>
      <c r="AT143" s="79"/>
      <c r="AU143" s="76"/>
      <c r="AV143" s="76"/>
      <c r="AW143" s="76"/>
      <c r="AX143" s="76"/>
      <c r="AY143" s="80"/>
      <c r="AZ143" s="79"/>
      <c r="BA143" s="76"/>
      <c r="BB143" s="76"/>
      <c r="BC143" s="76"/>
      <c r="BD143" s="76"/>
      <c r="BE143" s="80"/>
      <c r="BF143" s="79"/>
      <c r="BG143" s="76"/>
      <c r="BH143" s="76"/>
      <c r="BI143" s="76"/>
      <c r="BJ143" s="76"/>
      <c r="BK143" s="80"/>
      <c r="BM143" s="125">
        <f t="shared" si="338"/>
        <v>0</v>
      </c>
      <c r="BN143" s="126">
        <f t="shared" si="339"/>
        <v>0</v>
      </c>
      <c r="BO143" s="126">
        <f t="shared" si="340"/>
        <v>4</v>
      </c>
      <c r="BP143" s="126">
        <f t="shared" si="341"/>
        <v>0</v>
      </c>
      <c r="BQ143" s="126">
        <f>SUM(AT143:AY143)</f>
        <v>0</v>
      </c>
      <c r="BR143" s="126">
        <f t="shared" si="342"/>
        <v>0</v>
      </c>
      <c r="BS143" s="127">
        <f t="shared" si="343"/>
        <v>0</v>
      </c>
      <c r="BT143" s="74"/>
      <c r="BU143" s="125">
        <f t="shared" si="344"/>
        <v>0</v>
      </c>
      <c r="BV143" s="126">
        <f t="shared" si="345"/>
        <v>0</v>
      </c>
      <c r="BW143" s="126">
        <f t="shared" si="346"/>
        <v>8</v>
      </c>
      <c r="BX143" s="126">
        <f t="shared" si="347"/>
        <v>0</v>
      </c>
      <c r="BY143" s="126">
        <f t="shared" si="348"/>
        <v>0</v>
      </c>
      <c r="BZ143" s="126">
        <f t="shared" si="348"/>
        <v>0</v>
      </c>
      <c r="CA143" s="126">
        <f t="shared" si="348"/>
        <v>0</v>
      </c>
    </row>
    <row r="144" spans="1:79">
      <c r="A144" s="147" t="str">
        <f t="shared" si="331"/>
        <v>D</v>
      </c>
      <c r="B144" s="148">
        <f t="shared" si="332"/>
        <v>40000</v>
      </c>
      <c r="C144" s="149" t="s">
        <v>130</v>
      </c>
      <c r="D144" s="150" t="s">
        <v>0</v>
      </c>
      <c r="E144" s="150" t="s">
        <v>0</v>
      </c>
      <c r="F144" s="145" t="s">
        <v>70</v>
      </c>
      <c r="G144" s="150" t="s">
        <v>0</v>
      </c>
      <c r="H144" s="150" t="s">
        <v>0</v>
      </c>
      <c r="I144" s="150" t="s">
        <v>0</v>
      </c>
      <c r="J144" s="151" t="s">
        <v>0</v>
      </c>
      <c r="K144" s="13">
        <v>4</v>
      </c>
      <c r="L144" s="12" t="s">
        <v>32</v>
      </c>
      <c r="M144" s="13">
        <v>6</v>
      </c>
      <c r="N144" s="13">
        <v>0</v>
      </c>
      <c r="O144" s="14">
        <v>6</v>
      </c>
      <c r="P144" s="113">
        <f t="shared" si="333"/>
        <v>4</v>
      </c>
      <c r="Q144" s="114">
        <f t="shared" si="334"/>
        <v>0</v>
      </c>
      <c r="R144" s="114">
        <f t="shared" si="335"/>
        <v>6</v>
      </c>
      <c r="S144" s="114">
        <f t="shared" si="336"/>
        <v>0</v>
      </c>
      <c r="T144" s="93">
        <f t="shared" si="337"/>
        <v>1</v>
      </c>
      <c r="U144" t="s">
        <v>0</v>
      </c>
      <c r="V144" s="79"/>
      <c r="W144" s="76"/>
      <c r="X144" s="76"/>
      <c r="Y144" s="76">
        <v>4</v>
      </c>
      <c r="Z144" s="76"/>
      <c r="AA144" s="80"/>
      <c r="AB144" s="79"/>
      <c r="AC144" s="76"/>
      <c r="AD144" s="76"/>
      <c r="AE144" s="76"/>
      <c r="AF144" s="76"/>
      <c r="AG144" s="80"/>
      <c r="AH144" s="79"/>
      <c r="AI144" s="76"/>
      <c r="AJ144" s="76"/>
      <c r="AK144" s="76"/>
      <c r="AL144" s="76"/>
      <c r="AM144" s="80"/>
      <c r="AN144" s="79"/>
      <c r="AO144" s="76"/>
      <c r="AP144" s="76"/>
      <c r="AQ144" s="76"/>
      <c r="AR144" s="76"/>
      <c r="AS144" s="80"/>
      <c r="AT144" s="79"/>
      <c r="AU144" s="76"/>
      <c r="AV144" s="76"/>
      <c r="AW144" s="76"/>
      <c r="AX144" s="76"/>
      <c r="AY144" s="80"/>
      <c r="AZ144" s="79"/>
      <c r="BA144" s="76"/>
      <c r="BB144" s="76"/>
      <c r="BC144" s="76"/>
      <c r="BD144" s="76"/>
      <c r="BE144" s="80"/>
      <c r="BF144" s="79"/>
      <c r="BG144" s="76"/>
      <c r="BH144" s="76"/>
      <c r="BI144" s="76"/>
      <c r="BJ144" s="76"/>
      <c r="BK144" s="80"/>
      <c r="BM144" s="125">
        <f t="shared" si="338"/>
        <v>4</v>
      </c>
      <c r="BN144" s="126">
        <f t="shared" si="339"/>
        <v>0</v>
      </c>
      <c r="BO144" s="126">
        <f t="shared" si="340"/>
        <v>0</v>
      </c>
      <c r="BP144" s="126">
        <f t="shared" si="341"/>
        <v>0</v>
      </c>
      <c r="BQ144" s="126">
        <f>SUM(AT144:AY144)</f>
        <v>0</v>
      </c>
      <c r="BR144" s="126">
        <f t="shared" si="342"/>
        <v>0</v>
      </c>
      <c r="BS144" s="127">
        <f t="shared" si="343"/>
        <v>0</v>
      </c>
      <c r="BT144" s="74"/>
      <c r="BU144" s="125">
        <f t="shared" si="344"/>
        <v>6</v>
      </c>
      <c r="BV144" s="126">
        <f t="shared" si="345"/>
        <v>0</v>
      </c>
      <c r="BW144" s="126">
        <f t="shared" si="346"/>
        <v>0</v>
      </c>
      <c r="BX144" s="126">
        <f t="shared" si="347"/>
        <v>0</v>
      </c>
      <c r="BY144" s="126">
        <f t="shared" si="348"/>
        <v>0</v>
      </c>
      <c r="BZ144" s="126">
        <f t="shared" si="348"/>
        <v>0</v>
      </c>
      <c r="CA144" s="126">
        <f t="shared" si="348"/>
        <v>0</v>
      </c>
    </row>
    <row r="145" spans="1:79">
      <c r="A145" s="147" t="str">
        <f t="shared" si="331"/>
        <v>D</v>
      </c>
      <c r="B145" s="148">
        <f t="shared" si="332"/>
        <v>40000</v>
      </c>
      <c r="C145" s="149" t="s">
        <v>130</v>
      </c>
      <c r="D145" s="150" t="s">
        <v>0</v>
      </c>
      <c r="E145" s="150" t="s">
        <v>0</v>
      </c>
      <c r="F145" s="145" t="s">
        <v>71</v>
      </c>
      <c r="G145" s="150" t="s">
        <v>0</v>
      </c>
      <c r="H145" s="150" t="s">
        <v>0</v>
      </c>
      <c r="I145" s="150" t="s">
        <v>0</v>
      </c>
      <c r="J145" s="151" t="s">
        <v>0</v>
      </c>
      <c r="K145" s="13">
        <v>4</v>
      </c>
      <c r="L145" s="12" t="s">
        <v>32</v>
      </c>
      <c r="M145" s="13">
        <v>4</v>
      </c>
      <c r="N145" s="13">
        <v>0</v>
      </c>
      <c r="O145" s="14">
        <v>4</v>
      </c>
      <c r="P145" s="113">
        <f t="shared" si="333"/>
        <v>4</v>
      </c>
      <c r="Q145" s="114">
        <f t="shared" si="334"/>
        <v>0</v>
      </c>
      <c r="R145" s="114">
        <f t="shared" si="335"/>
        <v>4</v>
      </c>
      <c r="S145" s="114">
        <f t="shared" si="336"/>
        <v>0</v>
      </c>
      <c r="T145" s="93">
        <f t="shared" si="337"/>
        <v>1</v>
      </c>
      <c r="U145" t="s">
        <v>0</v>
      </c>
      <c r="V145" s="79"/>
      <c r="W145" s="76"/>
      <c r="X145" s="76"/>
      <c r="Y145" s="76"/>
      <c r="Z145" s="76"/>
      <c r="AA145" s="80"/>
      <c r="AB145" s="79"/>
      <c r="AC145" s="76">
        <v>4</v>
      </c>
      <c r="AD145" s="76"/>
      <c r="AE145" s="76"/>
      <c r="AF145" s="76"/>
      <c r="AG145" s="80"/>
      <c r="AH145" s="79"/>
      <c r="AI145" s="76"/>
      <c r="AJ145" s="76"/>
      <c r="AK145" s="76"/>
      <c r="AL145" s="76"/>
      <c r="AM145" s="80"/>
      <c r="AN145" s="79"/>
      <c r="AO145" s="76"/>
      <c r="AP145" s="76"/>
      <c r="AQ145" s="76"/>
      <c r="AR145" s="76"/>
      <c r="AS145" s="80"/>
      <c r="AT145" s="79"/>
      <c r="AU145" s="76"/>
      <c r="AV145" s="76"/>
      <c r="AW145" s="76"/>
      <c r="AX145" s="76"/>
      <c r="AY145" s="80"/>
      <c r="AZ145" s="79"/>
      <c r="BA145" s="76"/>
      <c r="BB145" s="76"/>
      <c r="BC145" s="76"/>
      <c r="BD145" s="76"/>
      <c r="BE145" s="80"/>
      <c r="BF145" s="79"/>
      <c r="BG145" s="76"/>
      <c r="BH145" s="76"/>
      <c r="BI145" s="76"/>
      <c r="BJ145" s="76"/>
      <c r="BK145" s="80"/>
      <c r="BM145" s="125">
        <f t="shared" si="338"/>
        <v>0</v>
      </c>
      <c r="BN145" s="126">
        <f t="shared" si="339"/>
        <v>4</v>
      </c>
      <c r="BO145" s="126">
        <f t="shared" si="340"/>
        <v>0</v>
      </c>
      <c r="BP145" s="126">
        <f t="shared" si="341"/>
        <v>0</v>
      </c>
      <c r="BQ145" s="126">
        <f>SUM(AT145:AY145)</f>
        <v>0</v>
      </c>
      <c r="BR145" s="126">
        <f t="shared" si="342"/>
        <v>0</v>
      </c>
      <c r="BS145" s="127">
        <f t="shared" si="343"/>
        <v>0</v>
      </c>
      <c r="BT145" s="74"/>
      <c r="BU145" s="125">
        <f t="shared" si="344"/>
        <v>0</v>
      </c>
      <c r="BV145" s="126">
        <f t="shared" si="345"/>
        <v>4</v>
      </c>
      <c r="BW145" s="126">
        <f t="shared" si="346"/>
        <v>0</v>
      </c>
      <c r="BX145" s="126">
        <f t="shared" si="347"/>
        <v>0</v>
      </c>
      <c r="BY145" s="126">
        <f t="shared" si="348"/>
        <v>0</v>
      </c>
      <c r="BZ145" s="126">
        <f t="shared" si="348"/>
        <v>0</v>
      </c>
      <c r="CA145" s="126">
        <f t="shared" si="348"/>
        <v>0</v>
      </c>
    </row>
    <row r="146" spans="1:79">
      <c r="A146" s="147" t="str">
        <f t="shared" si="331"/>
        <v>D</v>
      </c>
      <c r="B146" s="148">
        <f t="shared" si="332"/>
        <v>40000</v>
      </c>
      <c r="C146" s="149" t="s">
        <v>130</v>
      </c>
      <c r="D146" s="150" t="s">
        <v>0</v>
      </c>
      <c r="E146" s="150" t="s">
        <v>0</v>
      </c>
      <c r="F146" s="145" t="s">
        <v>72</v>
      </c>
      <c r="G146" s="150" t="s">
        <v>0</v>
      </c>
      <c r="H146" s="150" t="s">
        <v>0</v>
      </c>
      <c r="I146" s="150" t="s">
        <v>0</v>
      </c>
      <c r="J146" s="151" t="s">
        <v>0</v>
      </c>
      <c r="K146" s="13">
        <v>4</v>
      </c>
      <c r="L146" s="12" t="s">
        <v>67</v>
      </c>
      <c r="M146" s="13">
        <v>3</v>
      </c>
      <c r="N146" s="13">
        <v>0</v>
      </c>
      <c r="O146" s="14">
        <v>3</v>
      </c>
      <c r="P146" s="113">
        <f t="shared" si="333"/>
        <v>4</v>
      </c>
      <c r="Q146" s="114">
        <f t="shared" si="334"/>
        <v>0</v>
      </c>
      <c r="R146" s="114">
        <f t="shared" si="335"/>
        <v>3</v>
      </c>
      <c r="S146" s="114">
        <f t="shared" si="336"/>
        <v>0</v>
      </c>
      <c r="T146" s="93">
        <f t="shared" si="337"/>
        <v>1</v>
      </c>
      <c r="U146" t="s">
        <v>0</v>
      </c>
      <c r="V146" s="79"/>
      <c r="W146" s="76"/>
      <c r="X146" s="76"/>
      <c r="Y146" s="76"/>
      <c r="Z146" s="76"/>
      <c r="AA146" s="80"/>
      <c r="AB146" s="79"/>
      <c r="AC146" s="76"/>
      <c r="AD146" s="76"/>
      <c r="AE146" s="76"/>
      <c r="AF146" s="76"/>
      <c r="AG146" s="80"/>
      <c r="AH146" s="79"/>
      <c r="AI146" s="76">
        <v>4</v>
      </c>
      <c r="AJ146" s="76"/>
      <c r="AK146" s="76"/>
      <c r="AL146" s="76"/>
      <c r="AM146" s="80"/>
      <c r="AN146" s="79"/>
      <c r="AO146" s="76"/>
      <c r="AP146" s="76"/>
      <c r="AQ146" s="76"/>
      <c r="AR146" s="76"/>
      <c r="AS146" s="80"/>
      <c r="AT146" s="79"/>
      <c r="AU146" s="76"/>
      <c r="AV146" s="76"/>
      <c r="AW146" s="76"/>
      <c r="AX146" s="76"/>
      <c r="AY146" s="80"/>
      <c r="AZ146" s="79"/>
      <c r="BA146" s="76"/>
      <c r="BB146" s="76"/>
      <c r="BC146" s="76"/>
      <c r="BD146" s="76"/>
      <c r="BE146" s="80"/>
      <c r="BF146" s="79"/>
      <c r="BG146" s="76"/>
      <c r="BH146" s="76"/>
      <c r="BI146" s="76"/>
      <c r="BJ146" s="76"/>
      <c r="BK146" s="80"/>
      <c r="BM146" s="125">
        <f t="shared" si="338"/>
        <v>0</v>
      </c>
      <c r="BN146" s="126">
        <f t="shared" si="339"/>
        <v>0</v>
      </c>
      <c r="BO146" s="126">
        <f t="shared" si="340"/>
        <v>4</v>
      </c>
      <c r="BP146" s="126">
        <f t="shared" si="341"/>
        <v>0</v>
      </c>
      <c r="BQ146" s="126">
        <f>SUM(AT146:AY146)</f>
        <v>0</v>
      </c>
      <c r="BR146" s="126">
        <f t="shared" si="342"/>
        <v>0</v>
      </c>
      <c r="BS146" s="127">
        <f t="shared" si="343"/>
        <v>0</v>
      </c>
      <c r="BT146" s="74"/>
      <c r="BU146" s="125">
        <f t="shared" si="344"/>
        <v>0</v>
      </c>
      <c r="BV146" s="126">
        <f t="shared" si="345"/>
        <v>0</v>
      </c>
      <c r="BW146" s="126">
        <f t="shared" si="346"/>
        <v>3</v>
      </c>
      <c r="BX146" s="126">
        <f t="shared" si="347"/>
        <v>0</v>
      </c>
      <c r="BY146" s="126">
        <f t="shared" si="348"/>
        <v>0</v>
      </c>
      <c r="BZ146" s="126">
        <f t="shared" si="348"/>
        <v>0</v>
      </c>
      <c r="CA146" s="126">
        <f t="shared" si="348"/>
        <v>0</v>
      </c>
    </row>
    <row r="147" spans="1:79" ht="15.75">
      <c r="A147" s="152" t="str">
        <f t="shared" si="331"/>
        <v>P</v>
      </c>
      <c r="B147" s="153">
        <f t="shared" si="332"/>
        <v>40000</v>
      </c>
      <c r="C147" s="154" t="s">
        <v>132</v>
      </c>
      <c r="D147" s="155" t="s">
        <v>0</v>
      </c>
      <c r="E147" s="155" t="s">
        <v>0</v>
      </c>
      <c r="F147" s="156" t="s">
        <v>133</v>
      </c>
      <c r="G147" s="155" t="s">
        <v>0</v>
      </c>
      <c r="H147" s="155" t="s">
        <v>0</v>
      </c>
      <c r="I147" s="155" t="s">
        <v>0</v>
      </c>
      <c r="J147" s="157" t="s">
        <v>0</v>
      </c>
      <c r="K147" s="9">
        <v>10</v>
      </c>
      <c r="L147" s="8" t="s">
        <v>67</v>
      </c>
      <c r="M147" s="9">
        <v>11.5</v>
      </c>
      <c r="N147" s="9">
        <v>0</v>
      </c>
      <c r="O147" s="10">
        <v>11.5</v>
      </c>
      <c r="P147" s="111"/>
      <c r="Q147" s="112"/>
      <c r="R147" s="112">
        <f>SUMIFS(R148:R$415,$C148:$C$415,$C147)</f>
        <v>11.5</v>
      </c>
      <c r="S147" s="112">
        <f>SUMIFS(S148:S$415,$C148:$C$415,$C147)</f>
        <v>0</v>
      </c>
      <c r="T147" s="92">
        <f>R147/O147</f>
        <v>1</v>
      </c>
      <c r="V147" s="77"/>
      <c r="W147" s="75"/>
      <c r="X147" s="75"/>
      <c r="Y147" s="75"/>
      <c r="Z147" s="75"/>
      <c r="AA147" s="78"/>
      <c r="AB147" s="77"/>
      <c r="AC147" s="75"/>
      <c r="AD147" s="75"/>
      <c r="AE147" s="75"/>
      <c r="AF147" s="75"/>
      <c r="AG147" s="78"/>
      <c r="AH147" s="77"/>
      <c r="AI147" s="75"/>
      <c r="AJ147" s="75"/>
      <c r="AK147" s="75"/>
      <c r="AL147" s="75"/>
      <c r="AM147" s="78"/>
      <c r="AN147" s="77"/>
      <c r="AO147" s="75"/>
      <c r="AP147" s="75"/>
      <c r="AQ147" s="75"/>
      <c r="AR147" s="75"/>
      <c r="AS147" s="78"/>
      <c r="AT147" s="77"/>
      <c r="AU147" s="75"/>
      <c r="AV147" s="75"/>
      <c r="AW147" s="75"/>
      <c r="AX147" s="75"/>
      <c r="AY147" s="78"/>
      <c r="AZ147" s="77"/>
      <c r="BA147" s="75"/>
      <c r="BB147" s="75"/>
      <c r="BC147" s="75"/>
      <c r="BD147" s="75"/>
      <c r="BE147" s="78"/>
      <c r="BF147" s="77"/>
      <c r="BG147" s="75"/>
      <c r="BH147" s="75"/>
      <c r="BI147" s="75"/>
      <c r="BJ147" s="75"/>
      <c r="BK147" s="78"/>
      <c r="BM147" s="122"/>
      <c r="BN147" s="123"/>
      <c r="BO147" s="123"/>
      <c r="BP147" s="123"/>
      <c r="BQ147" s="123"/>
      <c r="BR147" s="123"/>
      <c r="BS147" s="124"/>
      <c r="BT147" s="74"/>
      <c r="BU147" s="122"/>
      <c r="BV147" s="123"/>
      <c r="BW147" s="123"/>
      <c r="BX147" s="123"/>
      <c r="BY147" s="123"/>
      <c r="BZ147" s="123"/>
      <c r="CA147" s="123"/>
    </row>
    <row r="148" spans="1:79">
      <c r="A148" s="147" t="str">
        <f t="shared" si="331"/>
        <v>D</v>
      </c>
      <c r="B148" s="148">
        <f t="shared" si="332"/>
        <v>40000</v>
      </c>
      <c r="C148" s="149" t="s">
        <v>132</v>
      </c>
      <c r="D148" s="150" t="s">
        <v>0</v>
      </c>
      <c r="E148" s="150" t="s">
        <v>0</v>
      </c>
      <c r="F148" s="145" t="s">
        <v>68</v>
      </c>
      <c r="G148" s="150" t="s">
        <v>0</v>
      </c>
      <c r="H148" s="150" t="s">
        <v>0</v>
      </c>
      <c r="I148" s="150" t="s">
        <v>0</v>
      </c>
      <c r="J148" s="151" t="s">
        <v>0</v>
      </c>
      <c r="K148" s="13">
        <v>1</v>
      </c>
      <c r="L148" s="12" t="s">
        <v>32</v>
      </c>
      <c r="M148" s="13">
        <v>4</v>
      </c>
      <c r="N148" s="13">
        <v>0</v>
      </c>
      <c r="O148" s="14">
        <v>4</v>
      </c>
      <c r="P148" s="113">
        <f t="shared" ref="P148:P149" si="349">SUM(BM148:BS148)</f>
        <v>1</v>
      </c>
      <c r="Q148" s="114">
        <f t="shared" ref="Q148:Q149" si="350">K148-P148</f>
        <v>0</v>
      </c>
      <c r="R148" s="114">
        <f t="shared" ref="R148:R149" si="351">SUM(BU148:CA148)</f>
        <v>4</v>
      </c>
      <c r="S148" s="114">
        <f t="shared" ref="S148:S149" si="352">O148-R148</f>
        <v>0</v>
      </c>
      <c r="T148" s="93">
        <f t="shared" ref="T148:T149" si="353">R148/O148</f>
        <v>1</v>
      </c>
      <c r="U148" t="s">
        <v>0</v>
      </c>
      <c r="V148" s="79"/>
      <c r="W148" s="76"/>
      <c r="X148" s="76">
        <v>1</v>
      </c>
      <c r="Y148" s="76"/>
      <c r="Z148" s="76"/>
      <c r="AA148" s="80"/>
      <c r="AB148" s="79"/>
      <c r="AC148" s="76"/>
      <c r="AD148" s="76"/>
      <c r="AE148" s="76"/>
      <c r="AF148" s="76"/>
      <c r="AG148" s="80"/>
      <c r="AH148" s="79"/>
      <c r="AI148" s="76"/>
      <c r="AJ148" s="76"/>
      <c r="AK148" s="76"/>
      <c r="AL148" s="76"/>
      <c r="AM148" s="80"/>
      <c r="AN148" s="79"/>
      <c r="AO148" s="76"/>
      <c r="AP148" s="76"/>
      <c r="AQ148" s="76"/>
      <c r="AR148" s="76"/>
      <c r="AS148" s="80"/>
      <c r="AT148" s="79"/>
      <c r="AU148" s="76"/>
      <c r="AV148" s="76"/>
      <c r="AW148" s="76"/>
      <c r="AX148" s="76"/>
      <c r="AY148" s="80"/>
      <c r="AZ148" s="79"/>
      <c r="BA148" s="76"/>
      <c r="BB148" s="76"/>
      <c r="BC148" s="76"/>
      <c r="BD148" s="76"/>
      <c r="BE148" s="80"/>
      <c r="BF148" s="79"/>
      <c r="BG148" s="76"/>
      <c r="BH148" s="76"/>
      <c r="BI148" s="76"/>
      <c r="BJ148" s="76"/>
      <c r="BK148" s="80"/>
      <c r="BM148" s="125">
        <f t="shared" ref="BM148:BM149" si="354">SUM(V148:AA148)</f>
        <v>1</v>
      </c>
      <c r="BN148" s="126">
        <f t="shared" ref="BN148:BN149" si="355">SUM(AB148:AG148)</f>
        <v>0</v>
      </c>
      <c r="BO148" s="126">
        <f t="shared" ref="BO148:BO149" si="356">SUM(AH148:AM148)</f>
        <v>0</v>
      </c>
      <c r="BP148" s="126">
        <f t="shared" ref="BP148:BP149" si="357">SUM(AN148:AS148)</f>
        <v>0</v>
      </c>
      <c r="BQ148" s="126">
        <f>SUM(AT148:AY148)</f>
        <v>0</v>
      </c>
      <c r="BR148" s="126">
        <f t="shared" ref="BR148:BS149" si="358">SUM(AZ148:BE148)</f>
        <v>0</v>
      </c>
      <c r="BS148" s="127">
        <f t="shared" ref="BS148:BS149" si="359">SUM(BF148:BK148)</f>
        <v>0</v>
      </c>
      <c r="BT148" s="74"/>
      <c r="BU148" s="125">
        <f t="shared" ref="BU148:BU149" si="360">(BM148/$K148)*$O148</f>
        <v>4</v>
      </c>
      <c r="BV148" s="126">
        <f t="shared" ref="BV148:BV149" si="361">(BN148/$K148)*$O148</f>
        <v>0</v>
      </c>
      <c r="BW148" s="126">
        <f t="shared" ref="BW148:BW149" si="362">(BO148/$K148)*$O148</f>
        <v>0</v>
      </c>
      <c r="BX148" s="126">
        <f t="shared" ref="BX148:BX149" si="363">(BP148/$K148)*$O148</f>
        <v>0</v>
      </c>
      <c r="BY148" s="126">
        <f t="shared" ref="BY148:CA149" si="364">(BQ148/$K148)*$O148</f>
        <v>0</v>
      </c>
      <c r="BZ148" s="126">
        <f t="shared" si="364"/>
        <v>0</v>
      </c>
      <c r="CA148" s="126">
        <f t="shared" si="364"/>
        <v>0</v>
      </c>
    </row>
    <row r="149" spans="1:79">
      <c r="A149" s="147" t="str">
        <f t="shared" si="331"/>
        <v>D</v>
      </c>
      <c r="B149" s="148">
        <f t="shared" si="332"/>
        <v>40000</v>
      </c>
      <c r="C149" s="149" t="s">
        <v>132</v>
      </c>
      <c r="D149" s="150" t="s">
        <v>0</v>
      </c>
      <c r="E149" s="150" t="s">
        <v>0</v>
      </c>
      <c r="F149" s="145" t="s">
        <v>72</v>
      </c>
      <c r="G149" s="150" t="s">
        <v>0</v>
      </c>
      <c r="H149" s="150" t="s">
        <v>0</v>
      </c>
      <c r="I149" s="150" t="s">
        <v>0</v>
      </c>
      <c r="J149" s="151" t="s">
        <v>0</v>
      </c>
      <c r="K149" s="13">
        <v>10</v>
      </c>
      <c r="L149" s="12" t="s">
        <v>67</v>
      </c>
      <c r="M149" s="13">
        <v>7.5</v>
      </c>
      <c r="N149" s="13">
        <v>0</v>
      </c>
      <c r="O149" s="14">
        <v>7.5</v>
      </c>
      <c r="P149" s="113">
        <f t="shared" si="349"/>
        <v>10</v>
      </c>
      <c r="Q149" s="114">
        <f t="shared" si="350"/>
        <v>0</v>
      </c>
      <c r="R149" s="114">
        <f t="shared" si="351"/>
        <v>7.5</v>
      </c>
      <c r="S149" s="114">
        <f t="shared" si="352"/>
        <v>0</v>
      </c>
      <c r="T149" s="93">
        <f t="shared" si="353"/>
        <v>1</v>
      </c>
      <c r="U149" t="s">
        <v>0</v>
      </c>
      <c r="V149" s="79"/>
      <c r="W149" s="76"/>
      <c r="X149" s="76"/>
      <c r="Y149" s="76"/>
      <c r="Z149" s="76"/>
      <c r="AA149" s="80"/>
      <c r="AB149" s="79"/>
      <c r="AC149" s="76"/>
      <c r="AD149" s="76"/>
      <c r="AE149" s="76">
        <v>10</v>
      </c>
      <c r="AF149" s="76"/>
      <c r="AG149" s="80"/>
      <c r="AH149" s="79"/>
      <c r="AI149" s="76"/>
      <c r="AJ149" s="76"/>
      <c r="AK149" s="76"/>
      <c r="AL149" s="76"/>
      <c r="AM149" s="80"/>
      <c r="AN149" s="79"/>
      <c r="AO149" s="76"/>
      <c r="AP149" s="76"/>
      <c r="AQ149" s="76"/>
      <c r="AR149" s="76"/>
      <c r="AS149" s="80"/>
      <c r="AT149" s="79"/>
      <c r="AU149" s="76"/>
      <c r="AV149" s="76"/>
      <c r="AW149" s="76"/>
      <c r="AX149" s="76"/>
      <c r="AY149" s="80"/>
      <c r="AZ149" s="79"/>
      <c r="BA149" s="76"/>
      <c r="BB149" s="76"/>
      <c r="BC149" s="76"/>
      <c r="BD149" s="76"/>
      <c r="BE149" s="80"/>
      <c r="BF149" s="79"/>
      <c r="BG149" s="76"/>
      <c r="BH149" s="76"/>
      <c r="BI149" s="76"/>
      <c r="BJ149" s="76"/>
      <c r="BK149" s="80"/>
      <c r="BM149" s="125">
        <f t="shared" si="354"/>
        <v>0</v>
      </c>
      <c r="BN149" s="126">
        <f t="shared" si="355"/>
        <v>10</v>
      </c>
      <c r="BO149" s="126">
        <f t="shared" si="356"/>
        <v>0</v>
      </c>
      <c r="BP149" s="126">
        <f t="shared" si="357"/>
        <v>0</v>
      </c>
      <c r="BQ149" s="126">
        <f>SUM(AT149:AY149)</f>
        <v>0</v>
      </c>
      <c r="BR149" s="126">
        <f t="shared" si="358"/>
        <v>0</v>
      </c>
      <c r="BS149" s="127">
        <f t="shared" si="359"/>
        <v>0</v>
      </c>
      <c r="BT149" s="74"/>
      <c r="BU149" s="125">
        <f t="shared" si="360"/>
        <v>0</v>
      </c>
      <c r="BV149" s="126">
        <f t="shared" si="361"/>
        <v>7.5</v>
      </c>
      <c r="BW149" s="126">
        <f t="shared" si="362"/>
        <v>0</v>
      </c>
      <c r="BX149" s="126">
        <f t="shared" si="363"/>
        <v>0</v>
      </c>
      <c r="BY149" s="126">
        <f t="shared" si="364"/>
        <v>0</v>
      </c>
      <c r="BZ149" s="126">
        <f t="shared" si="364"/>
        <v>0</v>
      </c>
      <c r="CA149" s="126">
        <f t="shared" si="364"/>
        <v>0</v>
      </c>
    </row>
    <row r="150" spans="1:79" ht="15.75">
      <c r="A150" s="152" t="str">
        <f t="shared" si="331"/>
        <v>P</v>
      </c>
      <c r="B150" s="153">
        <f t="shared" si="332"/>
        <v>40000</v>
      </c>
      <c r="C150" s="154" t="s">
        <v>134</v>
      </c>
      <c r="D150" s="155" t="s">
        <v>0</v>
      </c>
      <c r="E150" s="155" t="s">
        <v>0</v>
      </c>
      <c r="F150" s="156" t="s">
        <v>135</v>
      </c>
      <c r="G150" s="155" t="s">
        <v>0</v>
      </c>
      <c r="H150" s="155" t="s">
        <v>0</v>
      </c>
      <c r="I150" s="155" t="s">
        <v>0</v>
      </c>
      <c r="J150" s="157" t="s">
        <v>0</v>
      </c>
      <c r="K150" s="11" t="s">
        <v>0</v>
      </c>
      <c r="L150" s="8" t="s">
        <v>0</v>
      </c>
      <c r="M150" s="9">
        <v>40</v>
      </c>
      <c r="N150" s="9">
        <v>0</v>
      </c>
      <c r="O150" s="10">
        <v>40</v>
      </c>
      <c r="P150" s="111"/>
      <c r="Q150" s="112"/>
      <c r="R150" s="112">
        <f>SUMIFS(R151:R$415,$C151:$C$415,$C150)</f>
        <v>40</v>
      </c>
      <c r="S150" s="112">
        <f>SUMIFS(S151:S$415,$C151:$C$415,$C150)</f>
        <v>0</v>
      </c>
      <c r="T150" s="92">
        <f>R150/O150</f>
        <v>1</v>
      </c>
      <c r="V150" s="77"/>
      <c r="W150" s="75"/>
      <c r="X150" s="75"/>
      <c r="Y150" s="75"/>
      <c r="Z150" s="75"/>
      <c r="AA150" s="78"/>
      <c r="AB150" s="77"/>
      <c r="AC150" s="75"/>
      <c r="AD150" s="75"/>
      <c r="AE150" s="75"/>
      <c r="AF150" s="75"/>
      <c r="AG150" s="78"/>
      <c r="AH150" s="77"/>
      <c r="AI150" s="75"/>
      <c r="AJ150" s="75"/>
      <c r="AK150" s="75"/>
      <c r="AL150" s="75"/>
      <c r="AM150" s="78"/>
      <c r="AN150" s="77"/>
      <c r="AO150" s="75"/>
      <c r="AP150" s="75"/>
      <c r="AQ150" s="75"/>
      <c r="AR150" s="75"/>
      <c r="AS150" s="78"/>
      <c r="AT150" s="77"/>
      <c r="AU150" s="75"/>
      <c r="AV150" s="75"/>
      <c r="AW150" s="75"/>
      <c r="AX150" s="75"/>
      <c r="AY150" s="78"/>
      <c r="AZ150" s="77"/>
      <c r="BA150" s="75"/>
      <c r="BB150" s="75"/>
      <c r="BC150" s="75"/>
      <c r="BD150" s="75"/>
      <c r="BE150" s="78"/>
      <c r="BF150" s="77"/>
      <c r="BG150" s="75"/>
      <c r="BH150" s="75"/>
      <c r="BI150" s="75"/>
      <c r="BJ150" s="75"/>
      <c r="BK150" s="78"/>
      <c r="BM150" s="122"/>
      <c r="BN150" s="123"/>
      <c r="BO150" s="123"/>
      <c r="BP150" s="123"/>
      <c r="BQ150" s="123"/>
      <c r="BR150" s="123"/>
      <c r="BS150" s="124"/>
      <c r="BT150" s="74"/>
      <c r="BU150" s="122"/>
      <c r="BV150" s="123"/>
      <c r="BW150" s="123"/>
      <c r="BX150" s="123"/>
      <c r="BY150" s="123"/>
      <c r="BZ150" s="123"/>
      <c r="CA150" s="123"/>
    </row>
    <row r="151" spans="1:79">
      <c r="A151" s="147" t="str">
        <f t="shared" si="331"/>
        <v>D</v>
      </c>
      <c r="B151" s="148">
        <f t="shared" si="332"/>
        <v>40000</v>
      </c>
      <c r="C151" s="149" t="s">
        <v>134</v>
      </c>
      <c r="D151" s="150" t="s">
        <v>0</v>
      </c>
      <c r="E151" s="150" t="s">
        <v>0</v>
      </c>
      <c r="F151" s="145" t="s">
        <v>136</v>
      </c>
      <c r="G151" s="150" t="s">
        <v>0</v>
      </c>
      <c r="H151" s="150" t="s">
        <v>0</v>
      </c>
      <c r="I151" s="150" t="s">
        <v>0</v>
      </c>
      <c r="J151" s="151" t="s">
        <v>0</v>
      </c>
      <c r="K151" s="13">
        <v>4</v>
      </c>
      <c r="L151" s="12" t="s">
        <v>0</v>
      </c>
      <c r="M151" s="13">
        <v>40</v>
      </c>
      <c r="N151" s="13">
        <v>0</v>
      </c>
      <c r="O151" s="14">
        <v>40</v>
      </c>
      <c r="P151" s="113">
        <f>SUM(BM151:BS151)</f>
        <v>4</v>
      </c>
      <c r="Q151" s="114">
        <f>K151-P151</f>
        <v>0</v>
      </c>
      <c r="R151" s="114">
        <f>SUM(BU151:CA151)</f>
        <v>40</v>
      </c>
      <c r="S151" s="114">
        <f>O151-R151</f>
        <v>0</v>
      </c>
      <c r="T151" s="93">
        <f>R151/O151</f>
        <v>1</v>
      </c>
      <c r="U151" t="s">
        <v>0</v>
      </c>
      <c r="V151" s="79"/>
      <c r="W151" s="76"/>
      <c r="X151" s="76"/>
      <c r="Y151" s="76"/>
      <c r="Z151" s="76"/>
      <c r="AA151" s="80"/>
      <c r="AB151" s="79">
        <v>1</v>
      </c>
      <c r="AC151" s="76">
        <v>1</v>
      </c>
      <c r="AD151" s="76"/>
      <c r="AE151" s="76">
        <v>2</v>
      </c>
      <c r="AF151" s="76"/>
      <c r="AG151" s="80"/>
      <c r="AH151" s="79"/>
      <c r="AI151" s="76"/>
      <c r="AJ151" s="76"/>
      <c r="AK151" s="76"/>
      <c r="AL151" s="76"/>
      <c r="AM151" s="80"/>
      <c r="AN151" s="79"/>
      <c r="AO151" s="76"/>
      <c r="AP151" s="76"/>
      <c r="AQ151" s="76"/>
      <c r="AR151" s="76"/>
      <c r="AS151" s="80"/>
      <c r="AT151" s="79"/>
      <c r="AU151" s="76"/>
      <c r="AV151" s="76"/>
      <c r="AW151" s="76"/>
      <c r="AX151" s="76"/>
      <c r="AY151" s="80"/>
      <c r="AZ151" s="79"/>
      <c r="BA151" s="76"/>
      <c r="BB151" s="76"/>
      <c r="BC151" s="76"/>
      <c r="BD151" s="76"/>
      <c r="BE151" s="80"/>
      <c r="BF151" s="79"/>
      <c r="BG151" s="76"/>
      <c r="BH151" s="76"/>
      <c r="BI151" s="76"/>
      <c r="BJ151" s="76"/>
      <c r="BK151" s="80"/>
      <c r="BM151" s="125">
        <f>SUM(V151:AA151)</f>
        <v>0</v>
      </c>
      <c r="BN151" s="126">
        <f>SUM(AB151:AG151)</f>
        <v>4</v>
      </c>
      <c r="BO151" s="126">
        <f>SUM(AH151:AM151)</f>
        <v>0</v>
      </c>
      <c r="BP151" s="126">
        <f>SUM(AN151:AS151)</f>
        <v>0</v>
      </c>
      <c r="BQ151" s="126">
        <f>SUM(AT151:AY151)</f>
        <v>0</v>
      </c>
      <c r="BR151" s="126">
        <f>SUM(AZ151:BE151)</f>
        <v>0</v>
      </c>
      <c r="BS151" s="127">
        <f>SUM(BF151:BK151)</f>
        <v>0</v>
      </c>
      <c r="BT151" s="74"/>
      <c r="BU151" s="125">
        <f>(BM151/$K151)*$O151</f>
        <v>0</v>
      </c>
      <c r="BV151" s="126">
        <f t="shared" ref="BV151" si="365">(BN151/$K151)*$O151</f>
        <v>40</v>
      </c>
      <c r="BW151" s="126">
        <f t="shared" ref="BW151" si="366">(BO151/$K151)*$O151</f>
        <v>0</v>
      </c>
      <c r="BX151" s="126">
        <f t="shared" ref="BX151" si="367">(BP151/$K151)*$O151</f>
        <v>0</v>
      </c>
      <c r="BY151" s="126">
        <f t="shared" ref="BY151:CA151" si="368">(BQ151/$K151)*$O151</f>
        <v>0</v>
      </c>
      <c r="BZ151" s="126">
        <f t="shared" si="368"/>
        <v>0</v>
      </c>
      <c r="CA151" s="126">
        <f t="shared" si="368"/>
        <v>0</v>
      </c>
    </row>
    <row r="152" spans="1:79" ht="18.75">
      <c r="A152" s="158" t="str">
        <f t="shared" si="331"/>
        <v>W</v>
      </c>
      <c r="B152" s="159">
        <f t="shared" si="332"/>
        <v>60000</v>
      </c>
      <c r="C152" s="160" t="s">
        <v>14</v>
      </c>
      <c r="D152" s="161" t="s">
        <v>0</v>
      </c>
      <c r="E152" s="161" t="s">
        <v>0</v>
      </c>
      <c r="F152" s="162" t="s">
        <v>137</v>
      </c>
      <c r="G152" s="161" t="s">
        <v>0</v>
      </c>
      <c r="H152" s="161" t="s">
        <v>0</v>
      </c>
      <c r="I152" s="161" t="s">
        <v>0</v>
      </c>
      <c r="J152" s="163" t="s">
        <v>0</v>
      </c>
      <c r="K152" s="6" t="s">
        <v>0</v>
      </c>
      <c r="L152" s="3" t="s">
        <v>0</v>
      </c>
      <c r="M152" s="4">
        <v>127.5</v>
      </c>
      <c r="N152" s="4">
        <v>0</v>
      </c>
      <c r="O152" s="5">
        <v>127.5</v>
      </c>
      <c r="P152" s="115"/>
      <c r="Q152" s="116"/>
      <c r="R152" s="116">
        <f>SUMIFS(R153:R$415,$A153:$A$415,"P",$B153:$B$415,$B152)</f>
        <v>127.5</v>
      </c>
      <c r="S152" s="116">
        <f>SUMIFS(S153:S$415,$A153:$A$415,"P",$B153:$B$415,$B152)</f>
        <v>0</v>
      </c>
      <c r="T152" s="94">
        <f>R152/O152</f>
        <v>1</v>
      </c>
      <c r="V152" s="77"/>
      <c r="W152" s="75"/>
      <c r="X152" s="75"/>
      <c r="Y152" s="75"/>
      <c r="Z152" s="75"/>
      <c r="AA152" s="78"/>
      <c r="AB152" s="77"/>
      <c r="AC152" s="75"/>
      <c r="AD152" s="75"/>
      <c r="AE152" s="75"/>
      <c r="AF152" s="75"/>
      <c r="AG152" s="78"/>
      <c r="AH152" s="77"/>
      <c r="AI152" s="75"/>
      <c r="AJ152" s="75"/>
      <c r="AK152" s="75"/>
      <c r="AL152" s="75"/>
      <c r="AM152" s="78"/>
      <c r="AN152" s="77"/>
      <c r="AO152" s="75"/>
      <c r="AP152" s="75"/>
      <c r="AQ152" s="75"/>
      <c r="AR152" s="75"/>
      <c r="AS152" s="78"/>
      <c r="AT152" s="77"/>
      <c r="AU152" s="75"/>
      <c r="AV152" s="75"/>
      <c r="AW152" s="75"/>
      <c r="AX152" s="75"/>
      <c r="AY152" s="78"/>
      <c r="AZ152" s="77"/>
      <c r="BA152" s="75"/>
      <c r="BB152" s="75"/>
      <c r="BC152" s="75"/>
      <c r="BD152" s="75"/>
      <c r="BE152" s="78"/>
      <c r="BF152" s="77"/>
      <c r="BG152" s="75"/>
      <c r="BH152" s="75"/>
      <c r="BI152" s="75"/>
      <c r="BJ152" s="75"/>
      <c r="BK152" s="78"/>
      <c r="BM152" s="122"/>
      <c r="BN152" s="123"/>
      <c r="BO152" s="123"/>
      <c r="BP152" s="123"/>
      <c r="BQ152" s="123"/>
      <c r="BR152" s="123"/>
      <c r="BS152" s="124"/>
      <c r="BT152" s="74"/>
      <c r="BU152" s="122"/>
      <c r="BV152" s="123"/>
      <c r="BW152" s="123"/>
      <c r="BX152" s="123"/>
      <c r="BY152" s="123"/>
      <c r="BZ152" s="123"/>
      <c r="CA152" s="123"/>
    </row>
    <row r="153" spans="1:79" ht="15.75">
      <c r="A153" s="152" t="str">
        <f t="shared" si="331"/>
        <v>P</v>
      </c>
      <c r="B153" s="153">
        <f t="shared" si="332"/>
        <v>60000</v>
      </c>
      <c r="C153" s="154" t="s">
        <v>138</v>
      </c>
      <c r="D153" s="155" t="s">
        <v>0</v>
      </c>
      <c r="E153" s="155" t="s">
        <v>0</v>
      </c>
      <c r="F153" s="156" t="s">
        <v>139</v>
      </c>
      <c r="G153" s="155" t="s">
        <v>0</v>
      </c>
      <c r="H153" s="155" t="s">
        <v>0</v>
      </c>
      <c r="I153" s="155" t="s">
        <v>0</v>
      </c>
      <c r="J153" s="157" t="s">
        <v>0</v>
      </c>
      <c r="K153" s="11" t="s">
        <v>0</v>
      </c>
      <c r="L153" s="8" t="s">
        <v>0</v>
      </c>
      <c r="M153" s="9">
        <v>7.5</v>
      </c>
      <c r="N153" s="9">
        <v>0</v>
      </c>
      <c r="O153" s="10">
        <v>7.5</v>
      </c>
      <c r="P153" s="111"/>
      <c r="Q153" s="112"/>
      <c r="R153" s="112">
        <f>SUMIFS(R154:R$415,$C154:$C$415,$C153)</f>
        <v>7.5</v>
      </c>
      <c r="S153" s="112">
        <f>SUMIFS(S154:S$415,$C154:$C$415,$C153)</f>
        <v>0</v>
      </c>
      <c r="T153" s="92">
        <f>R153/O153</f>
        <v>1</v>
      </c>
      <c r="V153" s="77"/>
      <c r="W153" s="75"/>
      <c r="X153" s="75"/>
      <c r="Y153" s="75"/>
      <c r="Z153" s="75"/>
      <c r="AA153" s="78"/>
      <c r="AB153" s="77"/>
      <c r="AC153" s="75"/>
      <c r="AD153" s="75"/>
      <c r="AE153" s="75"/>
      <c r="AF153" s="75"/>
      <c r="AG153" s="78"/>
      <c r="AH153" s="77"/>
      <c r="AI153" s="75"/>
      <c r="AJ153" s="75"/>
      <c r="AK153" s="75"/>
      <c r="AL153" s="75"/>
      <c r="AM153" s="78"/>
      <c r="AN153" s="77"/>
      <c r="AO153" s="75"/>
      <c r="AP153" s="75"/>
      <c r="AQ153" s="75"/>
      <c r="AR153" s="75"/>
      <c r="AS153" s="78"/>
      <c r="AT153" s="77"/>
      <c r="AU153" s="75"/>
      <c r="AV153" s="75"/>
      <c r="AW153" s="75"/>
      <c r="AX153" s="75"/>
      <c r="AY153" s="78"/>
      <c r="AZ153" s="77"/>
      <c r="BA153" s="75"/>
      <c r="BB153" s="75"/>
      <c r="BC153" s="75"/>
      <c r="BD153" s="75"/>
      <c r="BE153" s="78"/>
      <c r="BF153" s="77"/>
      <c r="BG153" s="75"/>
      <c r="BH153" s="75"/>
      <c r="BI153" s="75"/>
      <c r="BJ153" s="75"/>
      <c r="BK153" s="78"/>
      <c r="BM153" s="122"/>
      <c r="BN153" s="123"/>
      <c r="BO153" s="123"/>
      <c r="BP153" s="123"/>
      <c r="BQ153" s="123"/>
      <c r="BR153" s="123"/>
      <c r="BS153" s="124"/>
      <c r="BT153" s="74"/>
      <c r="BU153" s="122"/>
      <c r="BV153" s="123"/>
      <c r="BW153" s="123"/>
      <c r="BX153" s="123"/>
      <c r="BY153" s="123"/>
      <c r="BZ153" s="123"/>
      <c r="CA153" s="123"/>
    </row>
    <row r="154" spans="1:79">
      <c r="A154" s="147" t="str">
        <f t="shared" si="331"/>
        <v>D</v>
      </c>
      <c r="B154" s="148">
        <f t="shared" si="332"/>
        <v>60000</v>
      </c>
      <c r="C154" s="149" t="s">
        <v>138</v>
      </c>
      <c r="D154" s="150" t="s">
        <v>0</v>
      </c>
      <c r="E154" s="150" t="s">
        <v>0</v>
      </c>
      <c r="F154" s="145" t="s">
        <v>140</v>
      </c>
      <c r="G154" s="150" t="s">
        <v>0</v>
      </c>
      <c r="H154" s="150" t="s">
        <v>0</v>
      </c>
      <c r="I154" s="150" t="s">
        <v>0</v>
      </c>
      <c r="J154" s="151" t="s">
        <v>0</v>
      </c>
      <c r="K154" s="13">
        <v>1</v>
      </c>
      <c r="L154" s="12" t="s">
        <v>32</v>
      </c>
      <c r="M154" s="13">
        <v>6.5</v>
      </c>
      <c r="N154" s="13">
        <v>0</v>
      </c>
      <c r="O154" s="14">
        <v>6.5</v>
      </c>
      <c r="P154" s="113">
        <f t="shared" ref="P154:P155" si="369">SUM(BM154:BS154)</f>
        <v>1</v>
      </c>
      <c r="Q154" s="114">
        <f t="shared" ref="Q154:Q155" si="370">K154-P154</f>
        <v>0</v>
      </c>
      <c r="R154" s="114">
        <f t="shared" ref="R154:R155" si="371">SUM(BU154:CA154)</f>
        <v>6.5</v>
      </c>
      <c r="S154" s="114">
        <f t="shared" ref="S154:S155" si="372">O154-R154</f>
        <v>0</v>
      </c>
      <c r="T154" s="93">
        <f t="shared" ref="T154:T155" si="373">R154/O154</f>
        <v>1</v>
      </c>
      <c r="U154" t="s">
        <v>0</v>
      </c>
      <c r="V154" s="79"/>
      <c r="W154" s="76"/>
      <c r="X154" s="76"/>
      <c r="Y154" s="76"/>
      <c r="Z154" s="76"/>
      <c r="AA154" s="80"/>
      <c r="AB154" s="79"/>
      <c r="AC154" s="76"/>
      <c r="AD154" s="76">
        <v>1</v>
      </c>
      <c r="AE154" s="76"/>
      <c r="AF154" s="76"/>
      <c r="AG154" s="80"/>
      <c r="AH154" s="79"/>
      <c r="AI154" s="76"/>
      <c r="AJ154" s="76"/>
      <c r="AK154" s="76"/>
      <c r="AL154" s="76"/>
      <c r="AM154" s="80"/>
      <c r="AN154" s="79"/>
      <c r="AO154" s="76"/>
      <c r="AP154" s="76"/>
      <c r="AQ154" s="76"/>
      <c r="AR154" s="76"/>
      <c r="AS154" s="80"/>
      <c r="AT154" s="79"/>
      <c r="AU154" s="76"/>
      <c r="AV154" s="76"/>
      <c r="AW154" s="76"/>
      <c r="AX154" s="76"/>
      <c r="AY154" s="80"/>
      <c r="AZ154" s="79"/>
      <c r="BA154" s="76"/>
      <c r="BB154" s="76"/>
      <c r="BC154" s="76"/>
      <c r="BD154" s="76"/>
      <c r="BE154" s="80"/>
      <c r="BF154" s="79"/>
      <c r="BG154" s="76"/>
      <c r="BH154" s="76"/>
      <c r="BI154" s="76"/>
      <c r="BJ154" s="76"/>
      <c r="BK154" s="80"/>
      <c r="BM154" s="125">
        <f t="shared" ref="BM154:BM155" si="374">SUM(V154:AA154)</f>
        <v>0</v>
      </c>
      <c r="BN154" s="126">
        <f t="shared" ref="BN154:BN155" si="375">SUM(AB154:AG154)</f>
        <v>1</v>
      </c>
      <c r="BO154" s="126">
        <f t="shared" ref="BO154:BO155" si="376">SUM(AH154:AM154)</f>
        <v>0</v>
      </c>
      <c r="BP154" s="126">
        <f t="shared" ref="BP154:BP155" si="377">SUM(AN154:AS154)</f>
        <v>0</v>
      </c>
      <c r="BQ154" s="126">
        <f>SUM(AT154:AY154)</f>
        <v>0</v>
      </c>
      <c r="BR154" s="126">
        <f t="shared" ref="BR154:BS155" si="378">SUM(AZ154:BE154)</f>
        <v>0</v>
      </c>
      <c r="BS154" s="127">
        <f t="shared" ref="BS154:BS155" si="379">SUM(BF154:BK154)</f>
        <v>0</v>
      </c>
      <c r="BT154" s="74"/>
      <c r="BU154" s="125">
        <f t="shared" ref="BU154:BU155" si="380">(BM154/$K154)*$O154</f>
        <v>0</v>
      </c>
      <c r="BV154" s="126">
        <f t="shared" ref="BV154:BV155" si="381">(BN154/$K154)*$O154</f>
        <v>6.5</v>
      </c>
      <c r="BW154" s="126">
        <f t="shared" ref="BW154:BW155" si="382">(BO154/$K154)*$O154</f>
        <v>0</v>
      </c>
      <c r="BX154" s="126">
        <f t="shared" ref="BX154:BX155" si="383">(BP154/$K154)*$O154</f>
        <v>0</v>
      </c>
      <c r="BY154" s="126">
        <f t="shared" ref="BY154:CA155" si="384">(BQ154/$K154)*$O154</f>
        <v>0</v>
      </c>
      <c r="BZ154" s="126">
        <f t="shared" si="384"/>
        <v>0</v>
      </c>
      <c r="CA154" s="126">
        <f t="shared" si="384"/>
        <v>0</v>
      </c>
    </row>
    <row r="155" spans="1:79">
      <c r="A155" s="147" t="str">
        <f t="shared" si="331"/>
        <v>D</v>
      </c>
      <c r="B155" s="148">
        <f t="shared" si="332"/>
        <v>60000</v>
      </c>
      <c r="C155" s="149" t="s">
        <v>138</v>
      </c>
      <c r="D155" s="150" t="s">
        <v>0</v>
      </c>
      <c r="E155" s="150" t="s">
        <v>0</v>
      </c>
      <c r="F155" s="145" t="s">
        <v>141</v>
      </c>
      <c r="G155" s="150" t="s">
        <v>0</v>
      </c>
      <c r="H155" s="150" t="s">
        <v>0</v>
      </c>
      <c r="I155" s="150" t="s">
        <v>0</v>
      </c>
      <c r="J155" s="151" t="s">
        <v>0</v>
      </c>
      <c r="K155" s="13">
        <v>4</v>
      </c>
      <c r="L155" s="12" t="s">
        <v>32</v>
      </c>
      <c r="M155" s="13">
        <v>1</v>
      </c>
      <c r="N155" s="13">
        <v>0</v>
      </c>
      <c r="O155" s="14">
        <v>1</v>
      </c>
      <c r="P155" s="113">
        <f t="shared" si="369"/>
        <v>4</v>
      </c>
      <c r="Q155" s="114">
        <f t="shared" si="370"/>
        <v>0</v>
      </c>
      <c r="R155" s="114">
        <f t="shared" si="371"/>
        <v>1</v>
      </c>
      <c r="S155" s="114">
        <f t="shared" si="372"/>
        <v>0</v>
      </c>
      <c r="T155" s="93">
        <f t="shared" si="373"/>
        <v>1</v>
      </c>
      <c r="U155" t="s">
        <v>0</v>
      </c>
      <c r="V155" s="79"/>
      <c r="W155" s="76"/>
      <c r="X155" s="76"/>
      <c r="Y155" s="76"/>
      <c r="Z155" s="76"/>
      <c r="AA155" s="80"/>
      <c r="AB155" s="79"/>
      <c r="AC155" s="76"/>
      <c r="AD155" s="76"/>
      <c r="AE155" s="76">
        <v>4</v>
      </c>
      <c r="AF155" s="76"/>
      <c r="AG155" s="80"/>
      <c r="AH155" s="79"/>
      <c r="AI155" s="76"/>
      <c r="AJ155" s="76"/>
      <c r="AK155" s="76"/>
      <c r="AL155" s="76"/>
      <c r="AM155" s="80"/>
      <c r="AN155" s="79"/>
      <c r="AO155" s="76"/>
      <c r="AP155" s="76"/>
      <c r="AQ155" s="76"/>
      <c r="AR155" s="76"/>
      <c r="AS155" s="80"/>
      <c r="AT155" s="79"/>
      <c r="AU155" s="76"/>
      <c r="AV155" s="76"/>
      <c r="AW155" s="76"/>
      <c r="AX155" s="76"/>
      <c r="AY155" s="80"/>
      <c r="AZ155" s="79"/>
      <c r="BA155" s="76"/>
      <c r="BB155" s="76"/>
      <c r="BC155" s="76"/>
      <c r="BD155" s="76"/>
      <c r="BE155" s="80"/>
      <c r="BF155" s="79"/>
      <c r="BG155" s="76"/>
      <c r="BH155" s="76"/>
      <c r="BI155" s="76"/>
      <c r="BJ155" s="76"/>
      <c r="BK155" s="80"/>
      <c r="BM155" s="125">
        <f t="shared" si="374"/>
        <v>0</v>
      </c>
      <c r="BN155" s="126">
        <f t="shared" si="375"/>
        <v>4</v>
      </c>
      <c r="BO155" s="126">
        <f t="shared" si="376"/>
        <v>0</v>
      </c>
      <c r="BP155" s="126">
        <f t="shared" si="377"/>
        <v>0</v>
      </c>
      <c r="BQ155" s="126">
        <f>SUM(AT155:AY155)</f>
        <v>0</v>
      </c>
      <c r="BR155" s="126">
        <f t="shared" si="378"/>
        <v>0</v>
      </c>
      <c r="BS155" s="127">
        <f t="shared" si="379"/>
        <v>0</v>
      </c>
      <c r="BT155" s="74"/>
      <c r="BU155" s="125">
        <f t="shared" si="380"/>
        <v>0</v>
      </c>
      <c r="BV155" s="126">
        <f t="shared" si="381"/>
        <v>1</v>
      </c>
      <c r="BW155" s="126">
        <f t="shared" si="382"/>
        <v>0</v>
      </c>
      <c r="BX155" s="126">
        <f t="shared" si="383"/>
        <v>0</v>
      </c>
      <c r="BY155" s="126">
        <f t="shared" si="384"/>
        <v>0</v>
      </c>
      <c r="BZ155" s="126">
        <f t="shared" si="384"/>
        <v>0</v>
      </c>
      <c r="CA155" s="126">
        <f t="shared" si="384"/>
        <v>0</v>
      </c>
    </row>
    <row r="156" spans="1:79" ht="15.75">
      <c r="A156" s="152" t="str">
        <f t="shared" si="331"/>
        <v>P</v>
      </c>
      <c r="B156" s="153">
        <f t="shared" si="332"/>
        <v>60000</v>
      </c>
      <c r="C156" s="154" t="s">
        <v>142</v>
      </c>
      <c r="D156" s="155" t="s">
        <v>0</v>
      </c>
      <c r="E156" s="155" t="s">
        <v>0</v>
      </c>
      <c r="F156" s="156" t="s">
        <v>143</v>
      </c>
      <c r="G156" s="155" t="s">
        <v>0</v>
      </c>
      <c r="H156" s="155" t="s">
        <v>0</v>
      </c>
      <c r="I156" s="155" t="s">
        <v>0</v>
      </c>
      <c r="J156" s="157" t="s">
        <v>0</v>
      </c>
      <c r="K156" s="11" t="s">
        <v>0</v>
      </c>
      <c r="L156" s="8" t="s">
        <v>0</v>
      </c>
      <c r="M156" s="9">
        <v>7.5</v>
      </c>
      <c r="N156" s="9">
        <v>0</v>
      </c>
      <c r="O156" s="10">
        <v>7.5</v>
      </c>
      <c r="P156" s="111"/>
      <c r="Q156" s="112"/>
      <c r="R156" s="112">
        <f>SUMIFS(R157:R$415,$C157:$C$415,$C156)</f>
        <v>7.5</v>
      </c>
      <c r="S156" s="112">
        <f>SUMIFS(S157:S$415,$C157:$C$415,$C156)</f>
        <v>0</v>
      </c>
      <c r="T156" s="92">
        <f>R156/O156</f>
        <v>1</v>
      </c>
      <c r="V156" s="77"/>
      <c r="W156" s="75"/>
      <c r="X156" s="75"/>
      <c r="Y156" s="75"/>
      <c r="Z156" s="75"/>
      <c r="AA156" s="78"/>
      <c r="AB156" s="77"/>
      <c r="AC156" s="75"/>
      <c r="AD156" s="75"/>
      <c r="AE156" s="75"/>
      <c r="AF156" s="75"/>
      <c r="AG156" s="78"/>
      <c r="AH156" s="77"/>
      <c r="AI156" s="75"/>
      <c r="AJ156" s="75"/>
      <c r="AK156" s="75"/>
      <c r="AL156" s="75"/>
      <c r="AM156" s="78"/>
      <c r="AN156" s="77"/>
      <c r="AO156" s="75"/>
      <c r="AP156" s="75"/>
      <c r="AQ156" s="75"/>
      <c r="AR156" s="75"/>
      <c r="AS156" s="78"/>
      <c r="AT156" s="77"/>
      <c r="AU156" s="75"/>
      <c r="AV156" s="75"/>
      <c r="AW156" s="75"/>
      <c r="AX156" s="75"/>
      <c r="AY156" s="78"/>
      <c r="AZ156" s="77"/>
      <c r="BA156" s="75"/>
      <c r="BB156" s="75"/>
      <c r="BC156" s="75"/>
      <c r="BD156" s="75"/>
      <c r="BE156" s="78"/>
      <c r="BF156" s="77"/>
      <c r="BG156" s="75"/>
      <c r="BH156" s="75"/>
      <c r="BI156" s="75"/>
      <c r="BJ156" s="75"/>
      <c r="BK156" s="78"/>
      <c r="BM156" s="122"/>
      <c r="BN156" s="123"/>
      <c r="BO156" s="123"/>
      <c r="BP156" s="123"/>
      <c r="BQ156" s="123"/>
      <c r="BR156" s="123"/>
      <c r="BS156" s="124"/>
      <c r="BT156" s="74"/>
      <c r="BU156" s="122"/>
      <c r="BV156" s="123"/>
      <c r="BW156" s="123"/>
      <c r="BX156" s="123"/>
      <c r="BY156" s="123"/>
      <c r="BZ156" s="123"/>
      <c r="CA156" s="123"/>
    </row>
    <row r="157" spans="1:79">
      <c r="A157" s="147" t="str">
        <f t="shared" si="331"/>
        <v>D</v>
      </c>
      <c r="B157" s="148">
        <f t="shared" si="332"/>
        <v>60000</v>
      </c>
      <c r="C157" s="149" t="s">
        <v>142</v>
      </c>
      <c r="D157" s="150" t="s">
        <v>0</v>
      </c>
      <c r="E157" s="150" t="s">
        <v>0</v>
      </c>
      <c r="F157" s="145" t="s">
        <v>140</v>
      </c>
      <c r="G157" s="150" t="s">
        <v>0</v>
      </c>
      <c r="H157" s="150" t="s">
        <v>0</v>
      </c>
      <c r="I157" s="150" t="s">
        <v>0</v>
      </c>
      <c r="J157" s="151" t="s">
        <v>0</v>
      </c>
      <c r="K157" s="13">
        <v>1</v>
      </c>
      <c r="L157" s="12" t="s">
        <v>32</v>
      </c>
      <c r="M157" s="13">
        <v>6.5</v>
      </c>
      <c r="N157" s="13">
        <v>0</v>
      </c>
      <c r="O157" s="14">
        <v>6.5</v>
      </c>
      <c r="P157" s="113">
        <f t="shared" ref="P157:P158" si="385">SUM(BM157:BS157)</f>
        <v>1</v>
      </c>
      <c r="Q157" s="114">
        <f t="shared" ref="Q157:Q158" si="386">K157-P157</f>
        <v>0</v>
      </c>
      <c r="R157" s="114">
        <f t="shared" ref="R157:R158" si="387">SUM(BU157:CA157)</f>
        <v>6.5</v>
      </c>
      <c r="S157" s="114">
        <f t="shared" ref="S157:S158" si="388">O157-R157</f>
        <v>0</v>
      </c>
      <c r="T157" s="93">
        <f t="shared" ref="T157:T158" si="389">R157/O157</f>
        <v>1</v>
      </c>
      <c r="U157" t="s">
        <v>0</v>
      </c>
      <c r="V157" s="79"/>
      <c r="W157" s="76"/>
      <c r="X157" s="76"/>
      <c r="Y157" s="76"/>
      <c r="Z157" s="76"/>
      <c r="AA157" s="80"/>
      <c r="AB157" s="79"/>
      <c r="AC157" s="76"/>
      <c r="AD157" s="76"/>
      <c r="AE157" s="76">
        <v>1</v>
      </c>
      <c r="AF157" s="76"/>
      <c r="AG157" s="80"/>
      <c r="AH157" s="79"/>
      <c r="AI157" s="76"/>
      <c r="AJ157" s="76"/>
      <c r="AK157" s="76"/>
      <c r="AL157" s="76"/>
      <c r="AM157" s="80"/>
      <c r="AN157" s="79"/>
      <c r="AO157" s="76"/>
      <c r="AP157" s="76"/>
      <c r="AQ157" s="76"/>
      <c r="AR157" s="76"/>
      <c r="AS157" s="80"/>
      <c r="AT157" s="79"/>
      <c r="AU157" s="76"/>
      <c r="AV157" s="76"/>
      <c r="AW157" s="76"/>
      <c r="AX157" s="76"/>
      <c r="AY157" s="80"/>
      <c r="AZ157" s="79"/>
      <c r="BA157" s="76"/>
      <c r="BB157" s="76"/>
      <c r="BC157" s="76"/>
      <c r="BD157" s="76"/>
      <c r="BE157" s="80"/>
      <c r="BF157" s="79"/>
      <c r="BG157" s="76"/>
      <c r="BH157" s="76"/>
      <c r="BI157" s="76"/>
      <c r="BJ157" s="76"/>
      <c r="BK157" s="80"/>
      <c r="BM157" s="125">
        <f t="shared" ref="BM157:BM158" si="390">SUM(V157:AA157)</f>
        <v>0</v>
      </c>
      <c r="BN157" s="126">
        <f t="shared" ref="BN157:BN158" si="391">SUM(AB157:AG157)</f>
        <v>1</v>
      </c>
      <c r="BO157" s="126">
        <f t="shared" ref="BO157:BO158" si="392">SUM(AH157:AM157)</f>
        <v>0</v>
      </c>
      <c r="BP157" s="126">
        <f t="shared" ref="BP157:BP158" si="393">SUM(AN157:AS157)</f>
        <v>0</v>
      </c>
      <c r="BQ157" s="126">
        <f>SUM(AT157:AY157)</f>
        <v>0</v>
      </c>
      <c r="BR157" s="126">
        <f t="shared" ref="BR157:BS158" si="394">SUM(AZ157:BE157)</f>
        <v>0</v>
      </c>
      <c r="BS157" s="127">
        <f t="shared" ref="BS157:BS158" si="395">SUM(BF157:BK157)</f>
        <v>0</v>
      </c>
      <c r="BT157" s="74"/>
      <c r="BU157" s="125">
        <f t="shared" ref="BU157:BU158" si="396">(BM157/$K157)*$O157</f>
        <v>0</v>
      </c>
      <c r="BV157" s="126">
        <f t="shared" ref="BV157:BV158" si="397">(BN157/$K157)*$O157</f>
        <v>6.5</v>
      </c>
      <c r="BW157" s="126">
        <f t="shared" ref="BW157:BW158" si="398">(BO157/$K157)*$O157</f>
        <v>0</v>
      </c>
      <c r="BX157" s="126">
        <f t="shared" ref="BX157:BX158" si="399">(BP157/$K157)*$O157</f>
        <v>0</v>
      </c>
      <c r="BY157" s="126">
        <f t="shared" ref="BY157:CA158" si="400">(BQ157/$K157)*$O157</f>
        <v>0</v>
      </c>
      <c r="BZ157" s="126">
        <f t="shared" si="400"/>
        <v>0</v>
      </c>
      <c r="CA157" s="126">
        <f t="shared" si="400"/>
        <v>0</v>
      </c>
    </row>
    <row r="158" spans="1:79">
      <c r="A158" s="147" t="str">
        <f t="shared" si="331"/>
        <v>D</v>
      </c>
      <c r="B158" s="148">
        <f t="shared" si="332"/>
        <v>60000</v>
      </c>
      <c r="C158" s="149" t="s">
        <v>142</v>
      </c>
      <c r="D158" s="150" t="s">
        <v>0</v>
      </c>
      <c r="E158" s="150" t="s">
        <v>0</v>
      </c>
      <c r="F158" s="145" t="s">
        <v>141</v>
      </c>
      <c r="G158" s="150" t="s">
        <v>0</v>
      </c>
      <c r="H158" s="150" t="s">
        <v>0</v>
      </c>
      <c r="I158" s="150" t="s">
        <v>0</v>
      </c>
      <c r="J158" s="151" t="s">
        <v>0</v>
      </c>
      <c r="K158" s="13">
        <v>4</v>
      </c>
      <c r="L158" s="12" t="s">
        <v>32</v>
      </c>
      <c r="M158" s="13">
        <v>1</v>
      </c>
      <c r="N158" s="13">
        <v>0</v>
      </c>
      <c r="O158" s="14">
        <v>1</v>
      </c>
      <c r="P158" s="113">
        <f t="shared" si="385"/>
        <v>4</v>
      </c>
      <c r="Q158" s="114">
        <f t="shared" si="386"/>
        <v>0</v>
      </c>
      <c r="R158" s="114">
        <f t="shared" si="387"/>
        <v>1</v>
      </c>
      <c r="S158" s="114">
        <f t="shared" si="388"/>
        <v>0</v>
      </c>
      <c r="T158" s="93">
        <f t="shared" si="389"/>
        <v>1</v>
      </c>
      <c r="U158" t="s">
        <v>0</v>
      </c>
      <c r="V158" s="79"/>
      <c r="W158" s="76"/>
      <c r="X158" s="76"/>
      <c r="Y158" s="76"/>
      <c r="Z158" s="76"/>
      <c r="AA158" s="80"/>
      <c r="AB158" s="79"/>
      <c r="AC158" s="76"/>
      <c r="AD158" s="76"/>
      <c r="AE158" s="76">
        <v>4</v>
      </c>
      <c r="AF158" s="76"/>
      <c r="AG158" s="80"/>
      <c r="AH158" s="79"/>
      <c r="AI158" s="76"/>
      <c r="AJ158" s="76"/>
      <c r="AK158" s="76"/>
      <c r="AL158" s="76"/>
      <c r="AM158" s="80"/>
      <c r="AN158" s="79"/>
      <c r="AO158" s="76"/>
      <c r="AP158" s="76"/>
      <c r="AQ158" s="76"/>
      <c r="AR158" s="76"/>
      <c r="AS158" s="80"/>
      <c r="AT158" s="79"/>
      <c r="AU158" s="76"/>
      <c r="AV158" s="76"/>
      <c r="AW158" s="76"/>
      <c r="AX158" s="76"/>
      <c r="AY158" s="80"/>
      <c r="AZ158" s="79"/>
      <c r="BA158" s="76"/>
      <c r="BB158" s="76"/>
      <c r="BC158" s="76"/>
      <c r="BD158" s="76"/>
      <c r="BE158" s="80"/>
      <c r="BF158" s="79"/>
      <c r="BG158" s="76"/>
      <c r="BH158" s="76"/>
      <c r="BI158" s="76"/>
      <c r="BJ158" s="76"/>
      <c r="BK158" s="80"/>
      <c r="BM158" s="125">
        <f t="shared" si="390"/>
        <v>0</v>
      </c>
      <c r="BN158" s="126">
        <f t="shared" si="391"/>
        <v>4</v>
      </c>
      <c r="BO158" s="126">
        <f t="shared" si="392"/>
        <v>0</v>
      </c>
      <c r="BP158" s="126">
        <f t="shared" si="393"/>
        <v>0</v>
      </c>
      <c r="BQ158" s="126">
        <f>SUM(AT158:AY158)</f>
        <v>0</v>
      </c>
      <c r="BR158" s="126">
        <f t="shared" si="394"/>
        <v>0</v>
      </c>
      <c r="BS158" s="127">
        <f t="shared" si="395"/>
        <v>0</v>
      </c>
      <c r="BT158" s="74"/>
      <c r="BU158" s="125">
        <f t="shared" si="396"/>
        <v>0</v>
      </c>
      <c r="BV158" s="126">
        <f t="shared" si="397"/>
        <v>1</v>
      </c>
      <c r="BW158" s="126">
        <f t="shared" si="398"/>
        <v>0</v>
      </c>
      <c r="BX158" s="126">
        <f t="shared" si="399"/>
        <v>0</v>
      </c>
      <c r="BY158" s="126">
        <f t="shared" si="400"/>
        <v>0</v>
      </c>
      <c r="BZ158" s="126">
        <f t="shared" si="400"/>
        <v>0</v>
      </c>
      <c r="CA158" s="126">
        <f t="shared" si="400"/>
        <v>0</v>
      </c>
    </row>
    <row r="159" spans="1:79" ht="15.75">
      <c r="A159" s="152" t="str">
        <f t="shared" si="331"/>
        <v>P</v>
      </c>
      <c r="B159" s="153">
        <f t="shared" si="332"/>
        <v>60000</v>
      </c>
      <c r="C159" s="154" t="s">
        <v>144</v>
      </c>
      <c r="D159" s="155" t="s">
        <v>0</v>
      </c>
      <c r="E159" s="155" t="s">
        <v>0</v>
      </c>
      <c r="F159" s="156" t="s">
        <v>145</v>
      </c>
      <c r="G159" s="155" t="s">
        <v>0</v>
      </c>
      <c r="H159" s="155" t="s">
        <v>0</v>
      </c>
      <c r="I159" s="155" t="s">
        <v>0</v>
      </c>
      <c r="J159" s="157" t="s">
        <v>0</v>
      </c>
      <c r="K159" s="11" t="s">
        <v>0</v>
      </c>
      <c r="L159" s="8" t="s">
        <v>0</v>
      </c>
      <c r="M159" s="9">
        <v>7.5</v>
      </c>
      <c r="N159" s="9">
        <v>0</v>
      </c>
      <c r="O159" s="10">
        <v>7.5</v>
      </c>
      <c r="P159" s="111"/>
      <c r="Q159" s="112"/>
      <c r="R159" s="112">
        <f>SUMIFS(R160:R$415,$C160:$C$415,$C159)</f>
        <v>7.5</v>
      </c>
      <c r="S159" s="112">
        <f>SUMIFS(S160:S$415,$C160:$C$415,$C159)</f>
        <v>0</v>
      </c>
      <c r="T159" s="92">
        <f>R159/O159</f>
        <v>1</v>
      </c>
      <c r="V159" s="77"/>
      <c r="W159" s="75"/>
      <c r="X159" s="75"/>
      <c r="Y159" s="75"/>
      <c r="Z159" s="75"/>
      <c r="AA159" s="78"/>
      <c r="AB159" s="77"/>
      <c r="AC159" s="75"/>
      <c r="AD159" s="75"/>
      <c r="AE159" s="75"/>
      <c r="AF159" s="75"/>
      <c r="AG159" s="78"/>
      <c r="AH159" s="77"/>
      <c r="AI159" s="75"/>
      <c r="AJ159" s="75"/>
      <c r="AK159" s="75"/>
      <c r="AL159" s="75"/>
      <c r="AM159" s="78"/>
      <c r="AN159" s="77"/>
      <c r="AO159" s="75"/>
      <c r="AP159" s="75"/>
      <c r="AQ159" s="75"/>
      <c r="AR159" s="75"/>
      <c r="AS159" s="78"/>
      <c r="AT159" s="77"/>
      <c r="AU159" s="75"/>
      <c r="AV159" s="75"/>
      <c r="AW159" s="75"/>
      <c r="AX159" s="75"/>
      <c r="AY159" s="78"/>
      <c r="AZ159" s="77"/>
      <c r="BA159" s="75"/>
      <c r="BB159" s="75"/>
      <c r="BC159" s="75"/>
      <c r="BD159" s="75"/>
      <c r="BE159" s="78"/>
      <c r="BF159" s="77"/>
      <c r="BG159" s="75"/>
      <c r="BH159" s="75"/>
      <c r="BI159" s="75"/>
      <c r="BJ159" s="75"/>
      <c r="BK159" s="78"/>
      <c r="BM159" s="122"/>
      <c r="BN159" s="123"/>
      <c r="BO159" s="123"/>
      <c r="BP159" s="123"/>
      <c r="BQ159" s="123"/>
      <c r="BR159" s="123"/>
      <c r="BS159" s="124"/>
      <c r="BT159" s="74"/>
      <c r="BU159" s="122"/>
      <c r="BV159" s="123"/>
      <c r="BW159" s="123"/>
      <c r="BX159" s="123"/>
      <c r="BY159" s="123"/>
      <c r="BZ159" s="123"/>
      <c r="CA159" s="123"/>
    </row>
    <row r="160" spans="1:79">
      <c r="A160" s="147" t="str">
        <f t="shared" si="331"/>
        <v>D</v>
      </c>
      <c r="B160" s="148">
        <f t="shared" si="332"/>
        <v>60000</v>
      </c>
      <c r="C160" s="149" t="s">
        <v>144</v>
      </c>
      <c r="D160" s="150" t="s">
        <v>0</v>
      </c>
      <c r="E160" s="150" t="s">
        <v>0</v>
      </c>
      <c r="F160" s="145" t="s">
        <v>140</v>
      </c>
      <c r="G160" s="150" t="s">
        <v>0</v>
      </c>
      <c r="H160" s="150" t="s">
        <v>0</v>
      </c>
      <c r="I160" s="150" t="s">
        <v>0</v>
      </c>
      <c r="J160" s="151" t="s">
        <v>0</v>
      </c>
      <c r="K160" s="13">
        <v>1</v>
      </c>
      <c r="L160" s="12" t="s">
        <v>32</v>
      </c>
      <c r="M160" s="13">
        <v>6.5</v>
      </c>
      <c r="N160" s="13">
        <v>0</v>
      </c>
      <c r="O160" s="14">
        <v>6.5</v>
      </c>
      <c r="P160" s="113">
        <f t="shared" ref="P160:P161" si="401">SUM(BM160:BS160)</f>
        <v>1</v>
      </c>
      <c r="Q160" s="114">
        <f t="shared" ref="Q160:Q161" si="402">K160-P160</f>
        <v>0</v>
      </c>
      <c r="R160" s="114">
        <f t="shared" ref="R160:R161" si="403">SUM(BU160:CA160)</f>
        <v>6.5</v>
      </c>
      <c r="S160" s="114">
        <f t="shared" ref="S160:S161" si="404">O160-R160</f>
        <v>0</v>
      </c>
      <c r="T160" s="93">
        <f t="shared" ref="T160:T161" si="405">R160/O160</f>
        <v>1</v>
      </c>
      <c r="U160" t="s">
        <v>0</v>
      </c>
      <c r="V160" s="79"/>
      <c r="W160" s="76"/>
      <c r="X160" s="76"/>
      <c r="Y160" s="76"/>
      <c r="Z160" s="76"/>
      <c r="AA160" s="80"/>
      <c r="AB160" s="79"/>
      <c r="AC160" s="76"/>
      <c r="AD160" s="76"/>
      <c r="AE160" s="76">
        <v>1</v>
      </c>
      <c r="AF160" s="76"/>
      <c r="AG160" s="80"/>
      <c r="AH160" s="79"/>
      <c r="AI160" s="76"/>
      <c r="AJ160" s="76"/>
      <c r="AK160" s="76"/>
      <c r="AL160" s="76"/>
      <c r="AM160" s="80"/>
      <c r="AN160" s="79"/>
      <c r="AO160" s="76"/>
      <c r="AP160" s="76"/>
      <c r="AQ160" s="76"/>
      <c r="AR160" s="76"/>
      <c r="AS160" s="80"/>
      <c r="AT160" s="79"/>
      <c r="AU160" s="76"/>
      <c r="AV160" s="76"/>
      <c r="AW160" s="76"/>
      <c r="AX160" s="76"/>
      <c r="AY160" s="80"/>
      <c r="AZ160" s="79"/>
      <c r="BA160" s="76"/>
      <c r="BB160" s="76"/>
      <c r="BC160" s="76"/>
      <c r="BD160" s="76"/>
      <c r="BE160" s="80"/>
      <c r="BF160" s="79"/>
      <c r="BG160" s="76"/>
      <c r="BH160" s="76"/>
      <c r="BI160" s="76"/>
      <c r="BJ160" s="76"/>
      <c r="BK160" s="80"/>
      <c r="BM160" s="125">
        <f t="shared" ref="BM160:BM161" si="406">SUM(V160:AA160)</f>
        <v>0</v>
      </c>
      <c r="BN160" s="126">
        <f t="shared" ref="BN160:BN161" si="407">SUM(AB160:AG160)</f>
        <v>1</v>
      </c>
      <c r="BO160" s="126">
        <f t="shared" ref="BO160:BO161" si="408">SUM(AH160:AM160)</f>
        <v>0</v>
      </c>
      <c r="BP160" s="126">
        <f t="shared" ref="BP160:BP161" si="409">SUM(AN160:AS160)</f>
        <v>0</v>
      </c>
      <c r="BQ160" s="126">
        <f>SUM(AT160:AY160)</f>
        <v>0</v>
      </c>
      <c r="BR160" s="126">
        <f t="shared" ref="BR160:BS161" si="410">SUM(AZ160:BE160)</f>
        <v>0</v>
      </c>
      <c r="BS160" s="127">
        <f t="shared" ref="BS160:BS161" si="411">SUM(BF160:BK160)</f>
        <v>0</v>
      </c>
      <c r="BT160" s="74"/>
      <c r="BU160" s="125">
        <f t="shared" ref="BU160:BU161" si="412">(BM160/$K160)*$O160</f>
        <v>0</v>
      </c>
      <c r="BV160" s="126">
        <f t="shared" ref="BV160:BV161" si="413">(BN160/$K160)*$O160</f>
        <v>6.5</v>
      </c>
      <c r="BW160" s="126">
        <f t="shared" ref="BW160:BW161" si="414">(BO160/$K160)*$O160</f>
        <v>0</v>
      </c>
      <c r="BX160" s="126">
        <f t="shared" ref="BX160:BX161" si="415">(BP160/$K160)*$O160</f>
        <v>0</v>
      </c>
      <c r="BY160" s="126">
        <f t="shared" ref="BY160:CA161" si="416">(BQ160/$K160)*$O160</f>
        <v>0</v>
      </c>
      <c r="BZ160" s="126">
        <f t="shared" si="416"/>
        <v>0</v>
      </c>
      <c r="CA160" s="126">
        <f t="shared" si="416"/>
        <v>0</v>
      </c>
    </row>
    <row r="161" spans="1:79">
      <c r="A161" s="147" t="str">
        <f t="shared" si="331"/>
        <v>D</v>
      </c>
      <c r="B161" s="148">
        <f t="shared" si="332"/>
        <v>60000</v>
      </c>
      <c r="C161" s="149" t="s">
        <v>144</v>
      </c>
      <c r="D161" s="150" t="s">
        <v>0</v>
      </c>
      <c r="E161" s="150" t="s">
        <v>0</v>
      </c>
      <c r="F161" s="145" t="s">
        <v>141</v>
      </c>
      <c r="G161" s="150" t="s">
        <v>0</v>
      </c>
      <c r="H161" s="150" t="s">
        <v>0</v>
      </c>
      <c r="I161" s="150" t="s">
        <v>0</v>
      </c>
      <c r="J161" s="151" t="s">
        <v>0</v>
      </c>
      <c r="K161" s="13">
        <v>4</v>
      </c>
      <c r="L161" s="12" t="s">
        <v>32</v>
      </c>
      <c r="M161" s="13">
        <v>1</v>
      </c>
      <c r="N161" s="13">
        <v>0</v>
      </c>
      <c r="O161" s="14">
        <v>1</v>
      </c>
      <c r="P161" s="113">
        <f t="shared" si="401"/>
        <v>4</v>
      </c>
      <c r="Q161" s="114">
        <f t="shared" si="402"/>
        <v>0</v>
      </c>
      <c r="R161" s="114">
        <f t="shared" si="403"/>
        <v>1</v>
      </c>
      <c r="S161" s="114">
        <f t="shared" si="404"/>
        <v>0</v>
      </c>
      <c r="T161" s="93">
        <f t="shared" si="405"/>
        <v>1</v>
      </c>
      <c r="U161" t="s">
        <v>0</v>
      </c>
      <c r="V161" s="79"/>
      <c r="W161" s="76"/>
      <c r="X161" s="76"/>
      <c r="Y161" s="76"/>
      <c r="Z161" s="76"/>
      <c r="AA161" s="80"/>
      <c r="AB161" s="79"/>
      <c r="AC161" s="76"/>
      <c r="AD161" s="76"/>
      <c r="AE161" s="76">
        <v>4</v>
      </c>
      <c r="AF161" s="76"/>
      <c r="AG161" s="80"/>
      <c r="AH161" s="79"/>
      <c r="AI161" s="76"/>
      <c r="AJ161" s="76"/>
      <c r="AK161" s="76"/>
      <c r="AL161" s="76"/>
      <c r="AM161" s="80"/>
      <c r="AN161" s="79"/>
      <c r="AO161" s="76"/>
      <c r="AP161" s="76"/>
      <c r="AQ161" s="76"/>
      <c r="AR161" s="76"/>
      <c r="AS161" s="80"/>
      <c r="AT161" s="79"/>
      <c r="AU161" s="76"/>
      <c r="AV161" s="76"/>
      <c r="AW161" s="76"/>
      <c r="AX161" s="76"/>
      <c r="AY161" s="80"/>
      <c r="AZ161" s="79"/>
      <c r="BA161" s="76"/>
      <c r="BB161" s="76"/>
      <c r="BC161" s="76"/>
      <c r="BD161" s="76"/>
      <c r="BE161" s="80"/>
      <c r="BF161" s="79"/>
      <c r="BG161" s="76"/>
      <c r="BH161" s="76"/>
      <c r="BI161" s="76"/>
      <c r="BJ161" s="76"/>
      <c r="BK161" s="80"/>
      <c r="BM161" s="125">
        <f t="shared" si="406"/>
        <v>0</v>
      </c>
      <c r="BN161" s="126">
        <f t="shared" si="407"/>
        <v>4</v>
      </c>
      <c r="BO161" s="126">
        <f t="shared" si="408"/>
        <v>0</v>
      </c>
      <c r="BP161" s="126">
        <f t="shared" si="409"/>
        <v>0</v>
      </c>
      <c r="BQ161" s="126">
        <f>SUM(AT161:AY161)</f>
        <v>0</v>
      </c>
      <c r="BR161" s="126">
        <f t="shared" si="410"/>
        <v>0</v>
      </c>
      <c r="BS161" s="127">
        <f t="shared" si="411"/>
        <v>0</v>
      </c>
      <c r="BT161" s="74"/>
      <c r="BU161" s="125">
        <f t="shared" si="412"/>
        <v>0</v>
      </c>
      <c r="BV161" s="126">
        <f t="shared" si="413"/>
        <v>1</v>
      </c>
      <c r="BW161" s="126">
        <f t="shared" si="414"/>
        <v>0</v>
      </c>
      <c r="BX161" s="126">
        <f t="shared" si="415"/>
        <v>0</v>
      </c>
      <c r="BY161" s="126">
        <f t="shared" si="416"/>
        <v>0</v>
      </c>
      <c r="BZ161" s="126">
        <f t="shared" si="416"/>
        <v>0</v>
      </c>
      <c r="CA161" s="126">
        <f t="shared" si="416"/>
        <v>0</v>
      </c>
    </row>
    <row r="162" spans="1:79" ht="15.75">
      <c r="A162" s="152" t="str">
        <f t="shared" si="331"/>
        <v>P</v>
      </c>
      <c r="B162" s="153">
        <f t="shared" si="332"/>
        <v>60000</v>
      </c>
      <c r="C162" s="154" t="s">
        <v>146</v>
      </c>
      <c r="D162" s="155" t="s">
        <v>0</v>
      </c>
      <c r="E162" s="155" t="s">
        <v>0</v>
      </c>
      <c r="F162" s="156" t="s">
        <v>147</v>
      </c>
      <c r="G162" s="155" t="s">
        <v>0</v>
      </c>
      <c r="H162" s="155" t="s">
        <v>0</v>
      </c>
      <c r="I162" s="155" t="s">
        <v>0</v>
      </c>
      <c r="J162" s="157" t="s">
        <v>0</v>
      </c>
      <c r="K162" s="11" t="s">
        <v>0</v>
      </c>
      <c r="L162" s="8" t="s">
        <v>0</v>
      </c>
      <c r="M162" s="9">
        <v>7.5</v>
      </c>
      <c r="N162" s="9">
        <v>0</v>
      </c>
      <c r="O162" s="10">
        <v>7.5</v>
      </c>
      <c r="P162" s="111"/>
      <c r="Q162" s="112"/>
      <c r="R162" s="112">
        <f>SUMIFS(R163:R$415,$C163:$C$415,$C162)</f>
        <v>7.5</v>
      </c>
      <c r="S162" s="112">
        <f>SUMIFS(S163:S$415,$C163:$C$415,$C162)</f>
        <v>0</v>
      </c>
      <c r="T162" s="92">
        <f>R162/O162</f>
        <v>1</v>
      </c>
      <c r="V162" s="77"/>
      <c r="W162" s="75"/>
      <c r="X162" s="75"/>
      <c r="Y162" s="75"/>
      <c r="Z162" s="75"/>
      <c r="AA162" s="78"/>
      <c r="AB162" s="77"/>
      <c r="AC162" s="75"/>
      <c r="AD162" s="75"/>
      <c r="AE162" s="75"/>
      <c r="AF162" s="75"/>
      <c r="AG162" s="78"/>
      <c r="AH162" s="77"/>
      <c r="AI162" s="75"/>
      <c r="AJ162" s="75"/>
      <c r="AK162" s="75"/>
      <c r="AL162" s="75"/>
      <c r="AM162" s="78"/>
      <c r="AN162" s="77"/>
      <c r="AO162" s="75"/>
      <c r="AP162" s="75"/>
      <c r="AQ162" s="75"/>
      <c r="AR162" s="75"/>
      <c r="AS162" s="78"/>
      <c r="AT162" s="77"/>
      <c r="AU162" s="75"/>
      <c r="AV162" s="75"/>
      <c r="AW162" s="75"/>
      <c r="AX162" s="75"/>
      <c r="AY162" s="78"/>
      <c r="AZ162" s="77"/>
      <c r="BA162" s="75"/>
      <c r="BB162" s="75"/>
      <c r="BC162" s="75"/>
      <c r="BD162" s="75"/>
      <c r="BE162" s="78"/>
      <c r="BF162" s="77"/>
      <c r="BG162" s="75"/>
      <c r="BH162" s="75"/>
      <c r="BI162" s="75"/>
      <c r="BJ162" s="75"/>
      <c r="BK162" s="78"/>
      <c r="BM162" s="122"/>
      <c r="BN162" s="123"/>
      <c r="BO162" s="123"/>
      <c r="BP162" s="123"/>
      <c r="BQ162" s="123"/>
      <c r="BR162" s="123"/>
      <c r="BS162" s="124"/>
      <c r="BT162" s="74"/>
      <c r="BU162" s="122"/>
      <c r="BV162" s="123"/>
      <c r="BW162" s="123"/>
      <c r="BX162" s="123"/>
      <c r="BY162" s="123"/>
      <c r="BZ162" s="123"/>
      <c r="CA162" s="123"/>
    </row>
    <row r="163" spans="1:79">
      <c r="A163" s="147" t="str">
        <f t="shared" si="331"/>
        <v>D</v>
      </c>
      <c r="B163" s="148">
        <f t="shared" si="332"/>
        <v>60000</v>
      </c>
      <c r="C163" s="149" t="s">
        <v>146</v>
      </c>
      <c r="D163" s="150" t="s">
        <v>0</v>
      </c>
      <c r="E163" s="150" t="s">
        <v>0</v>
      </c>
      <c r="F163" s="145" t="s">
        <v>140</v>
      </c>
      <c r="G163" s="150" t="s">
        <v>0</v>
      </c>
      <c r="H163" s="150" t="s">
        <v>0</v>
      </c>
      <c r="I163" s="150" t="s">
        <v>0</v>
      </c>
      <c r="J163" s="151" t="s">
        <v>0</v>
      </c>
      <c r="K163" s="13">
        <v>1</v>
      </c>
      <c r="L163" s="12" t="s">
        <v>32</v>
      </c>
      <c r="M163" s="13">
        <v>6.5</v>
      </c>
      <c r="N163" s="13">
        <v>0</v>
      </c>
      <c r="O163" s="14">
        <v>6.5</v>
      </c>
      <c r="P163" s="113">
        <f t="shared" ref="P163:P164" si="417">SUM(BM163:BS163)</f>
        <v>1</v>
      </c>
      <c r="Q163" s="114">
        <f t="shared" ref="Q163:Q164" si="418">K163-P163</f>
        <v>0</v>
      </c>
      <c r="R163" s="114">
        <f t="shared" ref="R163:R164" si="419">SUM(BU163:CA163)</f>
        <v>6.5</v>
      </c>
      <c r="S163" s="114">
        <f t="shared" ref="S163:S164" si="420">O163-R163</f>
        <v>0</v>
      </c>
      <c r="T163" s="93">
        <f t="shared" ref="T163:T164" si="421">R163/O163</f>
        <v>1</v>
      </c>
      <c r="U163" t="s">
        <v>0</v>
      </c>
      <c r="V163" s="79"/>
      <c r="W163" s="76"/>
      <c r="X163" s="76"/>
      <c r="Y163" s="76"/>
      <c r="Z163" s="76"/>
      <c r="AA163" s="80"/>
      <c r="AB163" s="79"/>
      <c r="AC163" s="76"/>
      <c r="AD163" s="76"/>
      <c r="AE163" s="76">
        <v>1</v>
      </c>
      <c r="AF163" s="76"/>
      <c r="AG163" s="80"/>
      <c r="AH163" s="79"/>
      <c r="AI163" s="76"/>
      <c r="AJ163" s="76"/>
      <c r="AK163" s="76"/>
      <c r="AL163" s="76"/>
      <c r="AM163" s="80"/>
      <c r="AN163" s="79"/>
      <c r="AO163" s="76"/>
      <c r="AP163" s="76"/>
      <c r="AQ163" s="76"/>
      <c r="AR163" s="76"/>
      <c r="AS163" s="80"/>
      <c r="AT163" s="79"/>
      <c r="AU163" s="76"/>
      <c r="AV163" s="76"/>
      <c r="AW163" s="76"/>
      <c r="AX163" s="76"/>
      <c r="AY163" s="80"/>
      <c r="AZ163" s="79"/>
      <c r="BA163" s="76"/>
      <c r="BB163" s="76"/>
      <c r="BC163" s="76"/>
      <c r="BD163" s="76"/>
      <c r="BE163" s="80"/>
      <c r="BF163" s="79"/>
      <c r="BG163" s="76"/>
      <c r="BH163" s="76"/>
      <c r="BI163" s="76"/>
      <c r="BJ163" s="76"/>
      <c r="BK163" s="80"/>
      <c r="BM163" s="125">
        <f t="shared" ref="BM163:BM164" si="422">SUM(V163:AA163)</f>
        <v>0</v>
      </c>
      <c r="BN163" s="126">
        <f t="shared" ref="BN163:BN164" si="423">SUM(AB163:AG163)</f>
        <v>1</v>
      </c>
      <c r="BO163" s="126">
        <f t="shared" ref="BO163:BO164" si="424">SUM(AH163:AM163)</f>
        <v>0</v>
      </c>
      <c r="BP163" s="126">
        <f t="shared" ref="BP163:BP164" si="425">SUM(AN163:AS163)</f>
        <v>0</v>
      </c>
      <c r="BQ163" s="126">
        <f>SUM(AT163:AY163)</f>
        <v>0</v>
      </c>
      <c r="BR163" s="126">
        <f t="shared" ref="BR163:BS164" si="426">SUM(AZ163:BE163)</f>
        <v>0</v>
      </c>
      <c r="BS163" s="127">
        <f t="shared" ref="BS163:BS164" si="427">SUM(BF163:BK163)</f>
        <v>0</v>
      </c>
      <c r="BT163" s="74"/>
      <c r="BU163" s="125">
        <f t="shared" ref="BU163:BU164" si="428">(BM163/$K163)*$O163</f>
        <v>0</v>
      </c>
      <c r="BV163" s="126">
        <f t="shared" ref="BV163:BV164" si="429">(BN163/$K163)*$O163</f>
        <v>6.5</v>
      </c>
      <c r="BW163" s="126">
        <f t="shared" ref="BW163:BW164" si="430">(BO163/$K163)*$O163</f>
        <v>0</v>
      </c>
      <c r="BX163" s="126">
        <f t="shared" ref="BX163:BX164" si="431">(BP163/$K163)*$O163</f>
        <v>0</v>
      </c>
      <c r="BY163" s="126">
        <f t="shared" ref="BY163:CA164" si="432">(BQ163/$K163)*$O163</f>
        <v>0</v>
      </c>
      <c r="BZ163" s="126">
        <f t="shared" si="432"/>
        <v>0</v>
      </c>
      <c r="CA163" s="126">
        <f t="shared" si="432"/>
        <v>0</v>
      </c>
    </row>
    <row r="164" spans="1:79">
      <c r="A164" s="147" t="str">
        <f t="shared" si="331"/>
        <v>D</v>
      </c>
      <c r="B164" s="148">
        <f t="shared" si="332"/>
        <v>60000</v>
      </c>
      <c r="C164" s="149" t="s">
        <v>146</v>
      </c>
      <c r="D164" s="150" t="s">
        <v>0</v>
      </c>
      <c r="E164" s="150" t="s">
        <v>0</v>
      </c>
      <c r="F164" s="145" t="s">
        <v>141</v>
      </c>
      <c r="G164" s="150" t="s">
        <v>0</v>
      </c>
      <c r="H164" s="150" t="s">
        <v>0</v>
      </c>
      <c r="I164" s="150" t="s">
        <v>0</v>
      </c>
      <c r="J164" s="151" t="s">
        <v>0</v>
      </c>
      <c r="K164" s="13">
        <v>4</v>
      </c>
      <c r="L164" s="12" t="s">
        <v>32</v>
      </c>
      <c r="M164" s="13">
        <v>1</v>
      </c>
      <c r="N164" s="13">
        <v>0</v>
      </c>
      <c r="O164" s="14">
        <v>1</v>
      </c>
      <c r="P164" s="113">
        <f t="shared" si="417"/>
        <v>4</v>
      </c>
      <c r="Q164" s="114">
        <f t="shared" si="418"/>
        <v>0</v>
      </c>
      <c r="R164" s="114">
        <f t="shared" si="419"/>
        <v>1</v>
      </c>
      <c r="S164" s="114">
        <f t="shared" si="420"/>
        <v>0</v>
      </c>
      <c r="T164" s="93">
        <f t="shared" si="421"/>
        <v>1</v>
      </c>
      <c r="U164" t="s">
        <v>0</v>
      </c>
      <c r="V164" s="79"/>
      <c r="W164" s="76"/>
      <c r="X164" s="76"/>
      <c r="Y164" s="76"/>
      <c r="Z164" s="76"/>
      <c r="AA164" s="80"/>
      <c r="AB164" s="79"/>
      <c r="AC164" s="76"/>
      <c r="AD164" s="76"/>
      <c r="AE164" s="76">
        <v>4</v>
      </c>
      <c r="AF164" s="76"/>
      <c r="AG164" s="80"/>
      <c r="AH164" s="79"/>
      <c r="AI164" s="76"/>
      <c r="AJ164" s="76"/>
      <c r="AK164" s="76"/>
      <c r="AL164" s="76"/>
      <c r="AM164" s="80"/>
      <c r="AN164" s="79"/>
      <c r="AO164" s="76"/>
      <c r="AP164" s="76"/>
      <c r="AQ164" s="76"/>
      <c r="AR164" s="76"/>
      <c r="AS164" s="80"/>
      <c r="AT164" s="79"/>
      <c r="AU164" s="76"/>
      <c r="AV164" s="76"/>
      <c r="AW164" s="76"/>
      <c r="AX164" s="76"/>
      <c r="AY164" s="80"/>
      <c r="AZ164" s="79"/>
      <c r="BA164" s="76"/>
      <c r="BB164" s="76"/>
      <c r="BC164" s="76"/>
      <c r="BD164" s="76"/>
      <c r="BE164" s="80"/>
      <c r="BF164" s="79"/>
      <c r="BG164" s="76"/>
      <c r="BH164" s="76"/>
      <c r="BI164" s="76"/>
      <c r="BJ164" s="76"/>
      <c r="BK164" s="80"/>
      <c r="BM164" s="125">
        <f t="shared" si="422"/>
        <v>0</v>
      </c>
      <c r="BN164" s="126">
        <f t="shared" si="423"/>
        <v>4</v>
      </c>
      <c r="BO164" s="126">
        <f t="shared" si="424"/>
        <v>0</v>
      </c>
      <c r="BP164" s="126">
        <f t="shared" si="425"/>
        <v>0</v>
      </c>
      <c r="BQ164" s="126">
        <f>SUM(AT164:AY164)</f>
        <v>0</v>
      </c>
      <c r="BR164" s="126">
        <f t="shared" si="426"/>
        <v>0</v>
      </c>
      <c r="BS164" s="127">
        <f t="shared" si="427"/>
        <v>0</v>
      </c>
      <c r="BT164" s="74"/>
      <c r="BU164" s="125">
        <f t="shared" si="428"/>
        <v>0</v>
      </c>
      <c r="BV164" s="126">
        <f t="shared" si="429"/>
        <v>1</v>
      </c>
      <c r="BW164" s="126">
        <f t="shared" si="430"/>
        <v>0</v>
      </c>
      <c r="BX164" s="126">
        <f t="shared" si="431"/>
        <v>0</v>
      </c>
      <c r="BY164" s="126">
        <f t="shared" si="432"/>
        <v>0</v>
      </c>
      <c r="BZ164" s="126">
        <f t="shared" si="432"/>
        <v>0</v>
      </c>
      <c r="CA164" s="126">
        <f t="shared" si="432"/>
        <v>0</v>
      </c>
    </row>
    <row r="165" spans="1:79" ht="15.75">
      <c r="A165" s="152" t="str">
        <f t="shared" si="331"/>
        <v>P</v>
      </c>
      <c r="B165" s="153">
        <f t="shared" si="332"/>
        <v>60000</v>
      </c>
      <c r="C165" s="154" t="s">
        <v>148</v>
      </c>
      <c r="D165" s="155" t="s">
        <v>0</v>
      </c>
      <c r="E165" s="155" t="s">
        <v>0</v>
      </c>
      <c r="F165" s="156" t="s">
        <v>149</v>
      </c>
      <c r="G165" s="155" t="s">
        <v>0</v>
      </c>
      <c r="H165" s="155" t="s">
        <v>0</v>
      </c>
      <c r="I165" s="155" t="s">
        <v>0</v>
      </c>
      <c r="J165" s="157" t="s">
        <v>0</v>
      </c>
      <c r="K165" s="11" t="s">
        <v>0</v>
      </c>
      <c r="L165" s="8" t="s">
        <v>0</v>
      </c>
      <c r="M165" s="9">
        <v>7.5</v>
      </c>
      <c r="N165" s="9">
        <v>0</v>
      </c>
      <c r="O165" s="10">
        <v>7.5</v>
      </c>
      <c r="P165" s="111"/>
      <c r="Q165" s="112"/>
      <c r="R165" s="112">
        <f>SUMIFS(R166:R$415,$C166:$C$415,$C165)</f>
        <v>7.5</v>
      </c>
      <c r="S165" s="112">
        <f>SUMIFS(S166:S$415,$C166:$C$415,$C165)</f>
        <v>0</v>
      </c>
      <c r="T165" s="92">
        <f>R165/O165</f>
        <v>1</v>
      </c>
      <c r="V165" s="77"/>
      <c r="W165" s="75"/>
      <c r="X165" s="75"/>
      <c r="Y165" s="75"/>
      <c r="Z165" s="75"/>
      <c r="AA165" s="78"/>
      <c r="AB165" s="77"/>
      <c r="AC165" s="75"/>
      <c r="AD165" s="75"/>
      <c r="AE165" s="75"/>
      <c r="AF165" s="75"/>
      <c r="AG165" s="78"/>
      <c r="AH165" s="77"/>
      <c r="AI165" s="75"/>
      <c r="AJ165" s="75"/>
      <c r="AK165" s="75"/>
      <c r="AL165" s="75"/>
      <c r="AM165" s="78"/>
      <c r="AN165" s="77"/>
      <c r="AO165" s="75"/>
      <c r="AP165" s="75"/>
      <c r="AQ165" s="75"/>
      <c r="AR165" s="75"/>
      <c r="AS165" s="78"/>
      <c r="AT165" s="77"/>
      <c r="AU165" s="75"/>
      <c r="AV165" s="75"/>
      <c r="AW165" s="75"/>
      <c r="AX165" s="75"/>
      <c r="AY165" s="78"/>
      <c r="AZ165" s="77"/>
      <c r="BA165" s="75"/>
      <c r="BB165" s="75"/>
      <c r="BC165" s="75"/>
      <c r="BD165" s="75"/>
      <c r="BE165" s="78"/>
      <c r="BF165" s="77"/>
      <c r="BG165" s="75"/>
      <c r="BH165" s="75"/>
      <c r="BI165" s="75"/>
      <c r="BJ165" s="75"/>
      <c r="BK165" s="78"/>
      <c r="BM165" s="122"/>
      <c r="BN165" s="123"/>
      <c r="BO165" s="123"/>
      <c r="BP165" s="123"/>
      <c r="BQ165" s="123"/>
      <c r="BR165" s="123"/>
      <c r="BS165" s="124"/>
      <c r="BT165" s="74"/>
      <c r="BU165" s="122"/>
      <c r="BV165" s="123"/>
      <c r="BW165" s="123"/>
      <c r="BX165" s="123"/>
      <c r="BY165" s="123"/>
      <c r="BZ165" s="123"/>
      <c r="CA165" s="123"/>
    </row>
    <row r="166" spans="1:79">
      <c r="A166" s="147" t="str">
        <f t="shared" si="331"/>
        <v>D</v>
      </c>
      <c r="B166" s="148">
        <f t="shared" si="332"/>
        <v>60000</v>
      </c>
      <c r="C166" s="149" t="s">
        <v>148</v>
      </c>
      <c r="D166" s="150" t="s">
        <v>0</v>
      </c>
      <c r="E166" s="150" t="s">
        <v>0</v>
      </c>
      <c r="F166" s="145" t="s">
        <v>140</v>
      </c>
      <c r="G166" s="150" t="s">
        <v>0</v>
      </c>
      <c r="H166" s="150" t="s">
        <v>0</v>
      </c>
      <c r="I166" s="150" t="s">
        <v>0</v>
      </c>
      <c r="J166" s="151" t="s">
        <v>0</v>
      </c>
      <c r="K166" s="13">
        <v>1</v>
      </c>
      <c r="L166" s="12" t="s">
        <v>32</v>
      </c>
      <c r="M166" s="13">
        <v>6.5</v>
      </c>
      <c r="N166" s="13">
        <v>0</v>
      </c>
      <c r="O166" s="14">
        <v>6.5</v>
      </c>
      <c r="P166" s="113">
        <f t="shared" ref="P166:P167" si="433">SUM(BM166:BS166)</f>
        <v>1</v>
      </c>
      <c r="Q166" s="114">
        <f t="shared" ref="Q166:Q167" si="434">K166-P166</f>
        <v>0</v>
      </c>
      <c r="R166" s="114">
        <f t="shared" ref="R166:R167" si="435">SUM(BU166:CA166)</f>
        <v>6.5</v>
      </c>
      <c r="S166" s="114">
        <f t="shared" ref="S166:S167" si="436">O166-R166</f>
        <v>0</v>
      </c>
      <c r="T166" s="93">
        <f t="shared" ref="T166:T167" si="437">R166/O166</f>
        <v>1</v>
      </c>
      <c r="U166" t="s">
        <v>0</v>
      </c>
      <c r="V166" s="79"/>
      <c r="W166" s="76"/>
      <c r="X166" s="76"/>
      <c r="Y166" s="76"/>
      <c r="Z166" s="76"/>
      <c r="AA166" s="80"/>
      <c r="AB166" s="79"/>
      <c r="AC166" s="76"/>
      <c r="AD166" s="76"/>
      <c r="AE166" s="76">
        <v>1</v>
      </c>
      <c r="AF166" s="76"/>
      <c r="AG166" s="80"/>
      <c r="AH166" s="79"/>
      <c r="AI166" s="76"/>
      <c r="AJ166" s="76"/>
      <c r="AK166" s="76"/>
      <c r="AL166" s="76"/>
      <c r="AM166" s="80"/>
      <c r="AN166" s="79"/>
      <c r="AO166" s="76"/>
      <c r="AP166" s="76"/>
      <c r="AQ166" s="76"/>
      <c r="AR166" s="76"/>
      <c r="AS166" s="80"/>
      <c r="AT166" s="79"/>
      <c r="AU166" s="76"/>
      <c r="AV166" s="76"/>
      <c r="AW166" s="76"/>
      <c r="AX166" s="76"/>
      <c r="AY166" s="80"/>
      <c r="AZ166" s="79"/>
      <c r="BA166" s="76"/>
      <c r="BB166" s="76"/>
      <c r="BC166" s="76"/>
      <c r="BD166" s="76"/>
      <c r="BE166" s="80"/>
      <c r="BF166" s="79"/>
      <c r="BG166" s="76"/>
      <c r="BH166" s="76"/>
      <c r="BI166" s="76"/>
      <c r="BJ166" s="76"/>
      <c r="BK166" s="80"/>
      <c r="BM166" s="125">
        <f t="shared" ref="BM166:BM167" si="438">SUM(V166:AA166)</f>
        <v>0</v>
      </c>
      <c r="BN166" s="126">
        <f t="shared" ref="BN166:BN167" si="439">SUM(AB166:AG166)</f>
        <v>1</v>
      </c>
      <c r="BO166" s="126">
        <f t="shared" ref="BO166:BO167" si="440">SUM(AH166:AM166)</f>
        <v>0</v>
      </c>
      <c r="BP166" s="126">
        <f t="shared" ref="BP166:BP167" si="441">SUM(AN166:AS166)</f>
        <v>0</v>
      </c>
      <c r="BQ166" s="126">
        <f>SUM(AT166:AY166)</f>
        <v>0</v>
      </c>
      <c r="BR166" s="126">
        <f t="shared" ref="BR166:BS167" si="442">SUM(AZ166:BE166)</f>
        <v>0</v>
      </c>
      <c r="BS166" s="127">
        <f t="shared" ref="BS166:BS167" si="443">SUM(BF166:BK166)</f>
        <v>0</v>
      </c>
      <c r="BT166" s="74"/>
      <c r="BU166" s="125">
        <f t="shared" ref="BU166:BU167" si="444">(BM166/$K166)*$O166</f>
        <v>0</v>
      </c>
      <c r="BV166" s="126">
        <f t="shared" ref="BV166:BV167" si="445">(BN166/$K166)*$O166</f>
        <v>6.5</v>
      </c>
      <c r="BW166" s="126">
        <f t="shared" ref="BW166:BW167" si="446">(BO166/$K166)*$O166</f>
        <v>0</v>
      </c>
      <c r="BX166" s="126">
        <f t="shared" ref="BX166:BX167" si="447">(BP166/$K166)*$O166</f>
        <v>0</v>
      </c>
      <c r="BY166" s="126">
        <f t="shared" ref="BY166:CA167" si="448">(BQ166/$K166)*$O166</f>
        <v>0</v>
      </c>
      <c r="BZ166" s="126">
        <f t="shared" si="448"/>
        <v>0</v>
      </c>
      <c r="CA166" s="126">
        <f t="shared" si="448"/>
        <v>0</v>
      </c>
    </row>
    <row r="167" spans="1:79">
      <c r="A167" s="147" t="str">
        <f t="shared" si="331"/>
        <v>D</v>
      </c>
      <c r="B167" s="148">
        <f t="shared" si="332"/>
        <v>60000</v>
      </c>
      <c r="C167" s="149" t="s">
        <v>148</v>
      </c>
      <c r="D167" s="150" t="s">
        <v>0</v>
      </c>
      <c r="E167" s="150" t="s">
        <v>0</v>
      </c>
      <c r="F167" s="145" t="s">
        <v>141</v>
      </c>
      <c r="G167" s="150" t="s">
        <v>0</v>
      </c>
      <c r="H167" s="150" t="s">
        <v>0</v>
      </c>
      <c r="I167" s="150" t="s">
        <v>0</v>
      </c>
      <c r="J167" s="151" t="s">
        <v>0</v>
      </c>
      <c r="K167" s="13">
        <v>4</v>
      </c>
      <c r="L167" s="12" t="s">
        <v>32</v>
      </c>
      <c r="M167" s="13">
        <v>1</v>
      </c>
      <c r="N167" s="13">
        <v>0</v>
      </c>
      <c r="O167" s="14">
        <v>1</v>
      </c>
      <c r="P167" s="113">
        <f t="shared" si="433"/>
        <v>4</v>
      </c>
      <c r="Q167" s="114">
        <f t="shared" si="434"/>
        <v>0</v>
      </c>
      <c r="R167" s="114">
        <f t="shared" si="435"/>
        <v>1</v>
      </c>
      <c r="S167" s="114">
        <f t="shared" si="436"/>
        <v>0</v>
      </c>
      <c r="T167" s="93">
        <f t="shared" si="437"/>
        <v>1</v>
      </c>
      <c r="U167" t="s">
        <v>0</v>
      </c>
      <c r="V167" s="79"/>
      <c r="W167" s="76"/>
      <c r="X167" s="76"/>
      <c r="Y167" s="76"/>
      <c r="Z167" s="76"/>
      <c r="AA167" s="80"/>
      <c r="AB167" s="79"/>
      <c r="AC167" s="76"/>
      <c r="AD167" s="76"/>
      <c r="AE167" s="76">
        <v>4</v>
      </c>
      <c r="AF167" s="76"/>
      <c r="AG167" s="80"/>
      <c r="AH167" s="79"/>
      <c r="AI167" s="76"/>
      <c r="AJ167" s="76"/>
      <c r="AK167" s="76"/>
      <c r="AL167" s="76"/>
      <c r="AM167" s="80"/>
      <c r="AN167" s="79"/>
      <c r="AO167" s="76"/>
      <c r="AP167" s="76"/>
      <c r="AQ167" s="76"/>
      <c r="AR167" s="76"/>
      <c r="AS167" s="80"/>
      <c r="AT167" s="79"/>
      <c r="AU167" s="76"/>
      <c r="AV167" s="76"/>
      <c r="AW167" s="76"/>
      <c r="AX167" s="76"/>
      <c r="AY167" s="80"/>
      <c r="AZ167" s="79"/>
      <c r="BA167" s="76"/>
      <c r="BB167" s="76"/>
      <c r="BC167" s="76"/>
      <c r="BD167" s="76"/>
      <c r="BE167" s="80"/>
      <c r="BF167" s="79"/>
      <c r="BG167" s="76"/>
      <c r="BH167" s="76"/>
      <c r="BI167" s="76"/>
      <c r="BJ167" s="76"/>
      <c r="BK167" s="80"/>
      <c r="BM167" s="125">
        <f t="shared" si="438"/>
        <v>0</v>
      </c>
      <c r="BN167" s="126">
        <f t="shared" si="439"/>
        <v>4</v>
      </c>
      <c r="BO167" s="126">
        <f t="shared" si="440"/>
        <v>0</v>
      </c>
      <c r="BP167" s="126">
        <f t="shared" si="441"/>
        <v>0</v>
      </c>
      <c r="BQ167" s="126">
        <f>SUM(AT167:AY167)</f>
        <v>0</v>
      </c>
      <c r="BR167" s="126">
        <f t="shared" si="442"/>
        <v>0</v>
      </c>
      <c r="BS167" s="127">
        <f t="shared" si="443"/>
        <v>0</v>
      </c>
      <c r="BT167" s="74"/>
      <c r="BU167" s="125">
        <f t="shared" si="444"/>
        <v>0</v>
      </c>
      <c r="BV167" s="126">
        <f t="shared" si="445"/>
        <v>1</v>
      </c>
      <c r="BW167" s="126">
        <f t="shared" si="446"/>
        <v>0</v>
      </c>
      <c r="BX167" s="126">
        <f t="shared" si="447"/>
        <v>0</v>
      </c>
      <c r="BY167" s="126">
        <f t="shared" si="448"/>
        <v>0</v>
      </c>
      <c r="BZ167" s="126">
        <f t="shared" si="448"/>
        <v>0</v>
      </c>
      <c r="CA167" s="126">
        <f t="shared" si="448"/>
        <v>0</v>
      </c>
    </row>
    <row r="168" spans="1:79" ht="15.75">
      <c r="A168" s="152" t="str">
        <f t="shared" si="331"/>
        <v>P</v>
      </c>
      <c r="B168" s="153">
        <f t="shared" si="332"/>
        <v>60000</v>
      </c>
      <c r="C168" s="154" t="s">
        <v>150</v>
      </c>
      <c r="D168" s="155" t="s">
        <v>0</v>
      </c>
      <c r="E168" s="155" t="s">
        <v>0</v>
      </c>
      <c r="F168" s="156" t="s">
        <v>151</v>
      </c>
      <c r="G168" s="155" t="s">
        <v>0</v>
      </c>
      <c r="H168" s="155" t="s">
        <v>0</v>
      </c>
      <c r="I168" s="155" t="s">
        <v>0</v>
      </c>
      <c r="J168" s="157" t="s">
        <v>0</v>
      </c>
      <c r="K168" s="11" t="s">
        <v>0</v>
      </c>
      <c r="L168" s="8" t="s">
        <v>0</v>
      </c>
      <c r="M168" s="9">
        <v>7.5</v>
      </c>
      <c r="N168" s="9">
        <v>0</v>
      </c>
      <c r="O168" s="10">
        <v>7.5</v>
      </c>
      <c r="P168" s="111"/>
      <c r="Q168" s="112"/>
      <c r="R168" s="112">
        <f>SUMIFS(R169:R$415,$C169:$C$415,$C168)</f>
        <v>7.5</v>
      </c>
      <c r="S168" s="112">
        <f>SUMIFS(S169:S$415,$C169:$C$415,$C168)</f>
        <v>0</v>
      </c>
      <c r="T168" s="92">
        <f>R168/O168</f>
        <v>1</v>
      </c>
      <c r="U168" s="1"/>
      <c r="V168" s="77"/>
      <c r="W168" s="75"/>
      <c r="X168" s="75"/>
      <c r="Y168" s="75"/>
      <c r="Z168" s="75"/>
      <c r="AA168" s="78"/>
      <c r="AB168" s="77"/>
      <c r="AC168" s="75"/>
      <c r="AD168" s="75"/>
      <c r="AE168" s="75"/>
      <c r="AF168" s="75"/>
      <c r="AG168" s="78"/>
      <c r="AH168" s="77"/>
      <c r="AI168" s="75"/>
      <c r="AJ168" s="75"/>
      <c r="AK168" s="75"/>
      <c r="AL168" s="75"/>
      <c r="AM168" s="78"/>
      <c r="AN168" s="77"/>
      <c r="AO168" s="75"/>
      <c r="AP168" s="75"/>
      <c r="AQ168" s="75"/>
      <c r="AR168" s="75"/>
      <c r="AS168" s="78"/>
      <c r="AT168" s="77"/>
      <c r="AU168" s="75"/>
      <c r="AV168" s="75"/>
      <c r="AW168" s="75"/>
      <c r="AX168" s="75"/>
      <c r="AY168" s="78"/>
      <c r="AZ168" s="77"/>
      <c r="BA168" s="75"/>
      <c r="BB168" s="75"/>
      <c r="BC168" s="75"/>
      <c r="BD168" s="75"/>
      <c r="BE168" s="78"/>
      <c r="BF168" s="77"/>
      <c r="BG168" s="75"/>
      <c r="BH168" s="75"/>
      <c r="BI168" s="75"/>
      <c r="BJ168" s="75"/>
      <c r="BK168" s="78"/>
      <c r="BL168" s="1"/>
      <c r="BM168" s="122"/>
      <c r="BN168" s="123"/>
      <c r="BO168" s="123"/>
      <c r="BP168" s="123"/>
      <c r="BQ168" s="123"/>
      <c r="BR168" s="123"/>
      <c r="BS168" s="124"/>
      <c r="BT168" s="74"/>
      <c r="BU168" s="122"/>
      <c r="BV168" s="123"/>
      <c r="BW168" s="123"/>
      <c r="BX168" s="123"/>
      <c r="BY168" s="123"/>
      <c r="BZ168" s="123"/>
      <c r="CA168" s="123"/>
    </row>
    <row r="169" spans="1:79">
      <c r="A169" s="147" t="str">
        <f t="shared" si="331"/>
        <v>D</v>
      </c>
      <c r="B169" s="148">
        <f t="shared" si="332"/>
        <v>60000</v>
      </c>
      <c r="C169" s="149" t="s">
        <v>150</v>
      </c>
      <c r="D169" s="150" t="s">
        <v>0</v>
      </c>
      <c r="E169" s="150" t="s">
        <v>0</v>
      </c>
      <c r="F169" s="145" t="s">
        <v>140</v>
      </c>
      <c r="G169" s="150" t="s">
        <v>0</v>
      </c>
      <c r="H169" s="150" t="s">
        <v>0</v>
      </c>
      <c r="I169" s="150" t="s">
        <v>0</v>
      </c>
      <c r="J169" s="151" t="s">
        <v>0</v>
      </c>
      <c r="K169" s="13">
        <v>1</v>
      </c>
      <c r="L169" s="12" t="s">
        <v>32</v>
      </c>
      <c r="M169" s="13">
        <v>6.5</v>
      </c>
      <c r="N169" s="13">
        <v>0</v>
      </c>
      <c r="O169" s="14">
        <v>6.5</v>
      </c>
      <c r="P169" s="113">
        <f t="shared" ref="P169:P170" si="449">SUM(BM169:BS169)</f>
        <v>1</v>
      </c>
      <c r="Q169" s="114">
        <f t="shared" ref="Q169:Q170" si="450">K169-P169</f>
        <v>0</v>
      </c>
      <c r="R169" s="114">
        <f t="shared" ref="R169:R170" si="451">SUM(BU169:CA169)</f>
        <v>6.5</v>
      </c>
      <c r="S169" s="114">
        <f t="shared" ref="S169:S170" si="452">O169-R169</f>
        <v>0</v>
      </c>
      <c r="T169" s="93">
        <f t="shared" ref="T169:T170" si="453">R169/O169</f>
        <v>1</v>
      </c>
      <c r="U169" t="s">
        <v>0</v>
      </c>
      <c r="V169" s="79"/>
      <c r="W169" s="76"/>
      <c r="X169" s="76"/>
      <c r="Y169" s="76"/>
      <c r="Z169" s="76"/>
      <c r="AA169" s="80"/>
      <c r="AB169" s="79"/>
      <c r="AC169" s="76"/>
      <c r="AD169" s="76"/>
      <c r="AE169" s="76">
        <v>1</v>
      </c>
      <c r="AF169" s="76"/>
      <c r="AG169" s="80"/>
      <c r="AH169" s="79"/>
      <c r="AI169" s="76"/>
      <c r="AJ169" s="76"/>
      <c r="AK169" s="76"/>
      <c r="AL169" s="76"/>
      <c r="AM169" s="80"/>
      <c r="AN169" s="79"/>
      <c r="AO169" s="76"/>
      <c r="AP169" s="76"/>
      <c r="AQ169" s="76"/>
      <c r="AR169" s="76"/>
      <c r="AS169" s="80"/>
      <c r="AT169" s="79"/>
      <c r="AU169" s="76"/>
      <c r="AV169" s="76"/>
      <c r="AW169" s="76"/>
      <c r="AX169" s="76"/>
      <c r="AY169" s="80"/>
      <c r="AZ169" s="79"/>
      <c r="BA169" s="76"/>
      <c r="BB169" s="76"/>
      <c r="BC169" s="76"/>
      <c r="BD169" s="76"/>
      <c r="BE169" s="80"/>
      <c r="BF169" s="79"/>
      <c r="BG169" s="76"/>
      <c r="BH169" s="76"/>
      <c r="BI169" s="76"/>
      <c r="BJ169" s="76"/>
      <c r="BK169" s="80"/>
      <c r="BM169" s="125">
        <f t="shared" ref="BM169:BM170" si="454">SUM(V169:AA169)</f>
        <v>0</v>
      </c>
      <c r="BN169" s="126">
        <f t="shared" ref="BN169:BN170" si="455">SUM(AB169:AG169)</f>
        <v>1</v>
      </c>
      <c r="BO169" s="126">
        <f t="shared" ref="BO169:BO170" si="456">SUM(AH169:AM169)</f>
        <v>0</v>
      </c>
      <c r="BP169" s="126">
        <f t="shared" ref="BP169:BP170" si="457">SUM(AN169:AS169)</f>
        <v>0</v>
      </c>
      <c r="BQ169" s="126">
        <f>SUM(AT169:AY169)</f>
        <v>0</v>
      </c>
      <c r="BR169" s="126">
        <f t="shared" ref="BR169:BS170" si="458">SUM(AZ169:BE169)</f>
        <v>0</v>
      </c>
      <c r="BS169" s="127">
        <f t="shared" ref="BS169:BS170" si="459">SUM(BF169:BK169)</f>
        <v>0</v>
      </c>
      <c r="BT169" s="74"/>
      <c r="BU169" s="125">
        <f t="shared" ref="BU169:BU170" si="460">(BM169/$K169)*$O169</f>
        <v>0</v>
      </c>
      <c r="BV169" s="126">
        <f t="shared" ref="BV169:BV170" si="461">(BN169/$K169)*$O169</f>
        <v>6.5</v>
      </c>
      <c r="BW169" s="126">
        <f t="shared" ref="BW169:BW170" si="462">(BO169/$K169)*$O169</f>
        <v>0</v>
      </c>
      <c r="BX169" s="126">
        <f t="shared" ref="BX169:BX170" si="463">(BP169/$K169)*$O169</f>
        <v>0</v>
      </c>
      <c r="BY169" s="126">
        <f t="shared" ref="BY169:CA170" si="464">(BQ169/$K169)*$O169</f>
        <v>0</v>
      </c>
      <c r="BZ169" s="126">
        <f t="shared" si="464"/>
        <v>0</v>
      </c>
      <c r="CA169" s="126">
        <f t="shared" si="464"/>
        <v>0</v>
      </c>
    </row>
    <row r="170" spans="1:79">
      <c r="A170" s="147" t="str">
        <f t="shared" si="331"/>
        <v>D</v>
      </c>
      <c r="B170" s="148">
        <f t="shared" si="332"/>
        <v>60000</v>
      </c>
      <c r="C170" s="149" t="s">
        <v>150</v>
      </c>
      <c r="D170" s="150" t="s">
        <v>0</v>
      </c>
      <c r="E170" s="150" t="s">
        <v>0</v>
      </c>
      <c r="F170" s="145" t="s">
        <v>141</v>
      </c>
      <c r="G170" s="150" t="s">
        <v>0</v>
      </c>
      <c r="H170" s="150" t="s">
        <v>0</v>
      </c>
      <c r="I170" s="150" t="s">
        <v>0</v>
      </c>
      <c r="J170" s="151" t="s">
        <v>0</v>
      </c>
      <c r="K170" s="13">
        <v>4</v>
      </c>
      <c r="L170" s="12" t="s">
        <v>32</v>
      </c>
      <c r="M170" s="13">
        <v>1</v>
      </c>
      <c r="N170" s="13">
        <v>0</v>
      </c>
      <c r="O170" s="14">
        <v>1</v>
      </c>
      <c r="P170" s="113">
        <f t="shared" si="449"/>
        <v>4</v>
      </c>
      <c r="Q170" s="114">
        <f t="shared" si="450"/>
        <v>0</v>
      </c>
      <c r="R170" s="114">
        <f t="shared" si="451"/>
        <v>1</v>
      </c>
      <c r="S170" s="114">
        <f t="shared" si="452"/>
        <v>0</v>
      </c>
      <c r="T170" s="93">
        <f t="shared" si="453"/>
        <v>1</v>
      </c>
      <c r="U170" t="s">
        <v>0</v>
      </c>
      <c r="V170" s="79"/>
      <c r="W170" s="76"/>
      <c r="X170" s="76"/>
      <c r="Y170" s="76"/>
      <c r="Z170" s="76"/>
      <c r="AA170" s="80"/>
      <c r="AB170" s="79"/>
      <c r="AC170" s="76"/>
      <c r="AD170" s="76"/>
      <c r="AE170" s="76">
        <v>4</v>
      </c>
      <c r="AF170" s="76"/>
      <c r="AG170" s="80"/>
      <c r="AH170" s="79"/>
      <c r="AI170" s="76"/>
      <c r="AJ170" s="76"/>
      <c r="AK170" s="76"/>
      <c r="AL170" s="76"/>
      <c r="AM170" s="80"/>
      <c r="AN170" s="79"/>
      <c r="AO170" s="76"/>
      <c r="AP170" s="76"/>
      <c r="AQ170" s="76"/>
      <c r="AR170" s="76"/>
      <c r="AS170" s="80"/>
      <c r="AT170" s="79"/>
      <c r="AU170" s="76"/>
      <c r="AV170" s="76"/>
      <c r="AW170" s="76"/>
      <c r="AX170" s="76"/>
      <c r="AY170" s="80"/>
      <c r="AZ170" s="79"/>
      <c r="BA170" s="76"/>
      <c r="BB170" s="76"/>
      <c r="BC170" s="76"/>
      <c r="BD170" s="76"/>
      <c r="BE170" s="80"/>
      <c r="BF170" s="79"/>
      <c r="BG170" s="76"/>
      <c r="BH170" s="76"/>
      <c r="BI170" s="76"/>
      <c r="BJ170" s="76"/>
      <c r="BK170" s="80"/>
      <c r="BM170" s="125">
        <f t="shared" si="454"/>
        <v>0</v>
      </c>
      <c r="BN170" s="126">
        <f t="shared" si="455"/>
        <v>4</v>
      </c>
      <c r="BO170" s="126">
        <f t="shared" si="456"/>
        <v>0</v>
      </c>
      <c r="BP170" s="126">
        <f t="shared" si="457"/>
        <v>0</v>
      </c>
      <c r="BQ170" s="126">
        <f>SUM(AT170:AY170)</f>
        <v>0</v>
      </c>
      <c r="BR170" s="126">
        <f t="shared" si="458"/>
        <v>0</v>
      </c>
      <c r="BS170" s="127">
        <f t="shared" si="459"/>
        <v>0</v>
      </c>
      <c r="BT170" s="74"/>
      <c r="BU170" s="125">
        <f t="shared" si="460"/>
        <v>0</v>
      </c>
      <c r="BV170" s="126">
        <f t="shared" si="461"/>
        <v>1</v>
      </c>
      <c r="BW170" s="126">
        <f t="shared" si="462"/>
        <v>0</v>
      </c>
      <c r="BX170" s="126">
        <f t="shared" si="463"/>
        <v>0</v>
      </c>
      <c r="BY170" s="126">
        <f t="shared" si="464"/>
        <v>0</v>
      </c>
      <c r="BZ170" s="126">
        <f t="shared" si="464"/>
        <v>0</v>
      </c>
      <c r="CA170" s="126">
        <f t="shared" si="464"/>
        <v>0</v>
      </c>
    </row>
    <row r="171" spans="1:79" ht="15.75">
      <c r="A171" s="152" t="str">
        <f t="shared" si="331"/>
        <v>P</v>
      </c>
      <c r="B171" s="153">
        <f t="shared" si="332"/>
        <v>60000</v>
      </c>
      <c r="C171" s="154" t="s">
        <v>152</v>
      </c>
      <c r="D171" s="155" t="s">
        <v>0</v>
      </c>
      <c r="E171" s="155" t="s">
        <v>0</v>
      </c>
      <c r="F171" s="156" t="s">
        <v>153</v>
      </c>
      <c r="G171" s="155" t="s">
        <v>0</v>
      </c>
      <c r="H171" s="155" t="s">
        <v>0</v>
      </c>
      <c r="I171" s="155" t="s">
        <v>0</v>
      </c>
      <c r="J171" s="157" t="s">
        <v>0</v>
      </c>
      <c r="K171" s="11" t="s">
        <v>0</v>
      </c>
      <c r="L171" s="8" t="s">
        <v>0</v>
      </c>
      <c r="M171" s="9">
        <v>7.5</v>
      </c>
      <c r="N171" s="9">
        <v>0</v>
      </c>
      <c r="O171" s="10">
        <v>7.5</v>
      </c>
      <c r="P171" s="111"/>
      <c r="Q171" s="112"/>
      <c r="R171" s="112">
        <f>SUMIFS(R172:R$415,$C172:$C$415,$C171)</f>
        <v>7.5</v>
      </c>
      <c r="S171" s="112">
        <f>SUMIFS(S172:S$415,$C172:$C$415,$C171)</f>
        <v>0</v>
      </c>
      <c r="T171" s="92">
        <f>R171/O171</f>
        <v>1</v>
      </c>
      <c r="V171" s="77"/>
      <c r="W171" s="75"/>
      <c r="X171" s="75"/>
      <c r="Y171" s="75"/>
      <c r="Z171" s="75"/>
      <c r="AA171" s="78"/>
      <c r="AB171" s="77"/>
      <c r="AC171" s="75"/>
      <c r="AD171" s="75"/>
      <c r="AE171" s="75"/>
      <c r="AF171" s="75"/>
      <c r="AG171" s="78"/>
      <c r="AH171" s="77"/>
      <c r="AI171" s="75"/>
      <c r="AJ171" s="75"/>
      <c r="AK171" s="75"/>
      <c r="AL171" s="75"/>
      <c r="AM171" s="78"/>
      <c r="AN171" s="77"/>
      <c r="AO171" s="75"/>
      <c r="AP171" s="75"/>
      <c r="AQ171" s="75"/>
      <c r="AR171" s="75"/>
      <c r="AS171" s="78"/>
      <c r="AT171" s="77"/>
      <c r="AU171" s="75"/>
      <c r="AV171" s="75"/>
      <c r="AW171" s="75"/>
      <c r="AX171" s="75"/>
      <c r="AY171" s="78"/>
      <c r="AZ171" s="77"/>
      <c r="BA171" s="75"/>
      <c r="BB171" s="75"/>
      <c r="BC171" s="75"/>
      <c r="BD171" s="75"/>
      <c r="BE171" s="78"/>
      <c r="BF171" s="77"/>
      <c r="BG171" s="75"/>
      <c r="BH171" s="75"/>
      <c r="BI171" s="75"/>
      <c r="BJ171" s="75"/>
      <c r="BK171" s="78"/>
      <c r="BM171" s="122"/>
      <c r="BN171" s="123"/>
      <c r="BO171" s="123"/>
      <c r="BP171" s="123"/>
      <c r="BQ171" s="123"/>
      <c r="BR171" s="123"/>
      <c r="BS171" s="124"/>
      <c r="BT171" s="74"/>
      <c r="BU171" s="122"/>
      <c r="BV171" s="123"/>
      <c r="BW171" s="123"/>
      <c r="BX171" s="123"/>
      <c r="BY171" s="123"/>
      <c r="BZ171" s="123"/>
      <c r="CA171" s="123"/>
    </row>
    <row r="172" spans="1:79">
      <c r="A172" s="147" t="str">
        <f t="shared" si="331"/>
        <v>D</v>
      </c>
      <c r="B172" s="148">
        <f t="shared" si="332"/>
        <v>60000</v>
      </c>
      <c r="C172" s="149" t="s">
        <v>152</v>
      </c>
      <c r="D172" s="150" t="s">
        <v>0</v>
      </c>
      <c r="E172" s="150" t="s">
        <v>0</v>
      </c>
      <c r="F172" s="145" t="s">
        <v>140</v>
      </c>
      <c r="G172" s="150" t="s">
        <v>0</v>
      </c>
      <c r="H172" s="150" t="s">
        <v>0</v>
      </c>
      <c r="I172" s="150" t="s">
        <v>0</v>
      </c>
      <c r="J172" s="151" t="s">
        <v>0</v>
      </c>
      <c r="K172" s="13">
        <v>1</v>
      </c>
      <c r="L172" s="12" t="s">
        <v>32</v>
      </c>
      <c r="M172" s="13">
        <v>6.5</v>
      </c>
      <c r="N172" s="13">
        <v>0</v>
      </c>
      <c r="O172" s="14">
        <v>6.5</v>
      </c>
      <c r="P172" s="113">
        <f t="shared" ref="P172:P173" si="465">SUM(BM172:BS172)</f>
        <v>1</v>
      </c>
      <c r="Q172" s="114">
        <f t="shared" ref="Q172:Q173" si="466">K172-P172</f>
        <v>0</v>
      </c>
      <c r="R172" s="114">
        <f t="shared" ref="R172:R173" si="467">SUM(BU172:CA172)</f>
        <v>6.5</v>
      </c>
      <c r="S172" s="114">
        <f t="shared" ref="S172:S173" si="468">O172-R172</f>
        <v>0</v>
      </c>
      <c r="T172" s="93">
        <f t="shared" ref="T172:T173" si="469">R172/O172</f>
        <v>1</v>
      </c>
      <c r="U172" t="s">
        <v>0</v>
      </c>
      <c r="V172" s="79"/>
      <c r="W172" s="76"/>
      <c r="X172" s="76"/>
      <c r="Y172" s="76"/>
      <c r="Z172" s="76"/>
      <c r="AA172" s="80"/>
      <c r="AB172" s="79"/>
      <c r="AC172" s="76"/>
      <c r="AD172" s="76"/>
      <c r="AE172" s="76">
        <v>1</v>
      </c>
      <c r="AF172" s="76"/>
      <c r="AG172" s="80"/>
      <c r="AH172" s="79"/>
      <c r="AI172" s="76"/>
      <c r="AJ172" s="76"/>
      <c r="AK172" s="76"/>
      <c r="AL172" s="76"/>
      <c r="AM172" s="80"/>
      <c r="AN172" s="79"/>
      <c r="AO172" s="76"/>
      <c r="AP172" s="76"/>
      <c r="AQ172" s="76"/>
      <c r="AR172" s="76"/>
      <c r="AS172" s="80"/>
      <c r="AT172" s="79"/>
      <c r="AU172" s="76"/>
      <c r="AV172" s="76"/>
      <c r="AW172" s="76"/>
      <c r="AX172" s="76"/>
      <c r="AY172" s="80"/>
      <c r="AZ172" s="79"/>
      <c r="BA172" s="76"/>
      <c r="BB172" s="76"/>
      <c r="BC172" s="76"/>
      <c r="BD172" s="76"/>
      <c r="BE172" s="80"/>
      <c r="BF172" s="79"/>
      <c r="BG172" s="76"/>
      <c r="BH172" s="76"/>
      <c r="BI172" s="76"/>
      <c r="BJ172" s="76"/>
      <c r="BK172" s="80"/>
      <c r="BM172" s="125">
        <f t="shared" ref="BM172:BM173" si="470">SUM(V172:AA172)</f>
        <v>0</v>
      </c>
      <c r="BN172" s="126">
        <f t="shared" ref="BN172:BN173" si="471">SUM(AB172:AG172)</f>
        <v>1</v>
      </c>
      <c r="BO172" s="126">
        <f t="shared" ref="BO172:BO173" si="472">SUM(AH172:AM172)</f>
        <v>0</v>
      </c>
      <c r="BP172" s="126">
        <f t="shared" ref="BP172:BP173" si="473">SUM(AN172:AS172)</f>
        <v>0</v>
      </c>
      <c r="BQ172" s="126">
        <f>SUM(AT172:AY172)</f>
        <v>0</v>
      </c>
      <c r="BR172" s="126">
        <f t="shared" ref="BR172:BS173" si="474">SUM(AZ172:BE172)</f>
        <v>0</v>
      </c>
      <c r="BS172" s="127">
        <f t="shared" ref="BS172:BS173" si="475">SUM(BF172:BK172)</f>
        <v>0</v>
      </c>
      <c r="BT172" s="74"/>
      <c r="BU172" s="125">
        <f t="shared" ref="BU172:BU173" si="476">(BM172/$K172)*$O172</f>
        <v>0</v>
      </c>
      <c r="BV172" s="126">
        <f t="shared" ref="BV172:BV173" si="477">(BN172/$K172)*$O172</f>
        <v>6.5</v>
      </c>
      <c r="BW172" s="126">
        <f t="shared" ref="BW172:BW173" si="478">(BO172/$K172)*$O172</f>
        <v>0</v>
      </c>
      <c r="BX172" s="126">
        <f t="shared" ref="BX172:BX173" si="479">(BP172/$K172)*$O172</f>
        <v>0</v>
      </c>
      <c r="BY172" s="126">
        <f t="shared" ref="BY172:CA173" si="480">(BQ172/$K172)*$O172</f>
        <v>0</v>
      </c>
      <c r="BZ172" s="126">
        <f t="shared" si="480"/>
        <v>0</v>
      </c>
      <c r="CA172" s="126">
        <f t="shared" si="480"/>
        <v>0</v>
      </c>
    </row>
    <row r="173" spans="1:79">
      <c r="A173" s="147" t="str">
        <f t="shared" si="331"/>
        <v>D</v>
      </c>
      <c r="B173" s="148">
        <f t="shared" si="332"/>
        <v>60000</v>
      </c>
      <c r="C173" s="149" t="s">
        <v>152</v>
      </c>
      <c r="D173" s="150" t="s">
        <v>0</v>
      </c>
      <c r="E173" s="150" t="s">
        <v>0</v>
      </c>
      <c r="F173" s="145" t="s">
        <v>141</v>
      </c>
      <c r="G173" s="150" t="s">
        <v>0</v>
      </c>
      <c r="H173" s="150" t="s">
        <v>0</v>
      </c>
      <c r="I173" s="150" t="s">
        <v>0</v>
      </c>
      <c r="J173" s="151" t="s">
        <v>0</v>
      </c>
      <c r="K173" s="13">
        <v>4</v>
      </c>
      <c r="L173" s="12" t="s">
        <v>32</v>
      </c>
      <c r="M173" s="13">
        <v>1</v>
      </c>
      <c r="N173" s="13">
        <v>0</v>
      </c>
      <c r="O173" s="14">
        <v>1</v>
      </c>
      <c r="P173" s="113">
        <f t="shared" si="465"/>
        <v>4</v>
      </c>
      <c r="Q173" s="114">
        <f t="shared" si="466"/>
        <v>0</v>
      </c>
      <c r="R173" s="114">
        <f t="shared" si="467"/>
        <v>1</v>
      </c>
      <c r="S173" s="114">
        <f t="shared" si="468"/>
        <v>0</v>
      </c>
      <c r="T173" s="93">
        <f t="shared" si="469"/>
        <v>1</v>
      </c>
      <c r="U173" t="s">
        <v>0</v>
      </c>
      <c r="V173" s="79"/>
      <c r="W173" s="76"/>
      <c r="X173" s="76"/>
      <c r="Y173" s="76"/>
      <c r="Z173" s="76"/>
      <c r="AA173" s="80"/>
      <c r="AB173" s="79"/>
      <c r="AC173" s="76"/>
      <c r="AD173" s="76"/>
      <c r="AE173" s="76">
        <v>4</v>
      </c>
      <c r="AF173" s="76"/>
      <c r="AG173" s="80"/>
      <c r="AH173" s="79"/>
      <c r="AI173" s="76"/>
      <c r="AJ173" s="76"/>
      <c r="AK173" s="76"/>
      <c r="AL173" s="76"/>
      <c r="AM173" s="80"/>
      <c r="AN173" s="79"/>
      <c r="AO173" s="76"/>
      <c r="AP173" s="76"/>
      <c r="AQ173" s="76"/>
      <c r="AR173" s="76"/>
      <c r="AS173" s="80"/>
      <c r="AT173" s="79"/>
      <c r="AU173" s="76"/>
      <c r="AV173" s="76"/>
      <c r="AW173" s="76"/>
      <c r="AX173" s="76"/>
      <c r="AY173" s="80"/>
      <c r="AZ173" s="79"/>
      <c r="BA173" s="76"/>
      <c r="BB173" s="76"/>
      <c r="BC173" s="76"/>
      <c r="BD173" s="76"/>
      <c r="BE173" s="80"/>
      <c r="BF173" s="79"/>
      <c r="BG173" s="76"/>
      <c r="BH173" s="76"/>
      <c r="BI173" s="76"/>
      <c r="BJ173" s="76"/>
      <c r="BK173" s="80"/>
      <c r="BM173" s="125">
        <f t="shared" si="470"/>
        <v>0</v>
      </c>
      <c r="BN173" s="126">
        <f t="shared" si="471"/>
        <v>4</v>
      </c>
      <c r="BO173" s="126">
        <f t="shared" si="472"/>
        <v>0</v>
      </c>
      <c r="BP173" s="126">
        <f t="shared" si="473"/>
        <v>0</v>
      </c>
      <c r="BQ173" s="126">
        <f>SUM(AT173:AY173)</f>
        <v>0</v>
      </c>
      <c r="BR173" s="126">
        <f t="shared" si="474"/>
        <v>0</v>
      </c>
      <c r="BS173" s="127">
        <f t="shared" si="475"/>
        <v>0</v>
      </c>
      <c r="BT173" s="74"/>
      <c r="BU173" s="125">
        <f t="shared" si="476"/>
        <v>0</v>
      </c>
      <c r="BV173" s="126">
        <f t="shared" si="477"/>
        <v>1</v>
      </c>
      <c r="BW173" s="126">
        <f t="shared" si="478"/>
        <v>0</v>
      </c>
      <c r="BX173" s="126">
        <f t="shared" si="479"/>
        <v>0</v>
      </c>
      <c r="BY173" s="126">
        <f t="shared" si="480"/>
        <v>0</v>
      </c>
      <c r="BZ173" s="126">
        <f t="shared" si="480"/>
        <v>0</v>
      </c>
      <c r="CA173" s="126">
        <f t="shared" si="480"/>
        <v>0</v>
      </c>
    </row>
    <row r="174" spans="1:79" ht="15.75">
      <c r="A174" s="152" t="str">
        <f t="shared" si="331"/>
        <v>P</v>
      </c>
      <c r="B174" s="153">
        <f t="shared" si="332"/>
        <v>60000</v>
      </c>
      <c r="C174" s="154" t="s">
        <v>154</v>
      </c>
      <c r="D174" s="155" t="s">
        <v>0</v>
      </c>
      <c r="E174" s="155" t="s">
        <v>0</v>
      </c>
      <c r="F174" s="156" t="s">
        <v>155</v>
      </c>
      <c r="G174" s="155" t="s">
        <v>0</v>
      </c>
      <c r="H174" s="155" t="s">
        <v>0</v>
      </c>
      <c r="I174" s="155" t="s">
        <v>0</v>
      </c>
      <c r="J174" s="157" t="s">
        <v>0</v>
      </c>
      <c r="K174" s="11" t="s">
        <v>0</v>
      </c>
      <c r="L174" s="8" t="s">
        <v>0</v>
      </c>
      <c r="M174" s="9">
        <v>7.5</v>
      </c>
      <c r="N174" s="9">
        <v>0</v>
      </c>
      <c r="O174" s="10">
        <v>7.5</v>
      </c>
      <c r="P174" s="111"/>
      <c r="Q174" s="112"/>
      <c r="R174" s="112">
        <f>SUMIFS(R175:R$415,$C175:$C$415,$C174)</f>
        <v>7.5</v>
      </c>
      <c r="S174" s="112">
        <f>SUMIFS(S175:S$415,$C175:$C$415,$C174)</f>
        <v>0</v>
      </c>
      <c r="T174" s="92">
        <f>R174/O174</f>
        <v>1</v>
      </c>
      <c r="V174" s="77"/>
      <c r="W174" s="75"/>
      <c r="X174" s="75"/>
      <c r="Y174" s="75"/>
      <c r="Z174" s="75"/>
      <c r="AA174" s="78"/>
      <c r="AB174" s="77"/>
      <c r="AC174" s="75"/>
      <c r="AD174" s="75"/>
      <c r="AE174" s="75"/>
      <c r="AF174" s="75"/>
      <c r="AG174" s="78"/>
      <c r="AH174" s="77"/>
      <c r="AI174" s="75"/>
      <c r="AJ174" s="75"/>
      <c r="AK174" s="75"/>
      <c r="AL174" s="75"/>
      <c r="AM174" s="78"/>
      <c r="AN174" s="77"/>
      <c r="AO174" s="75"/>
      <c r="AP174" s="75"/>
      <c r="AQ174" s="75"/>
      <c r="AR174" s="75"/>
      <c r="AS174" s="78"/>
      <c r="AT174" s="77"/>
      <c r="AU174" s="75"/>
      <c r="AV174" s="75"/>
      <c r="AW174" s="75"/>
      <c r="AX174" s="75"/>
      <c r="AY174" s="78"/>
      <c r="AZ174" s="77"/>
      <c r="BA174" s="75"/>
      <c r="BB174" s="75"/>
      <c r="BC174" s="75"/>
      <c r="BD174" s="75"/>
      <c r="BE174" s="78"/>
      <c r="BF174" s="77"/>
      <c r="BG174" s="75"/>
      <c r="BH174" s="75"/>
      <c r="BI174" s="75"/>
      <c r="BJ174" s="75"/>
      <c r="BK174" s="78"/>
      <c r="BM174" s="122"/>
      <c r="BN174" s="123"/>
      <c r="BO174" s="123"/>
      <c r="BP174" s="123"/>
      <c r="BQ174" s="123"/>
      <c r="BR174" s="123"/>
      <c r="BS174" s="124"/>
      <c r="BT174" s="74"/>
      <c r="BU174" s="122"/>
      <c r="BV174" s="123"/>
      <c r="BW174" s="123"/>
      <c r="BX174" s="123"/>
      <c r="BY174" s="123"/>
      <c r="BZ174" s="123"/>
      <c r="CA174" s="123"/>
    </row>
    <row r="175" spans="1:79">
      <c r="A175" s="147" t="str">
        <f t="shared" si="331"/>
        <v>D</v>
      </c>
      <c r="B175" s="148">
        <f t="shared" si="332"/>
        <v>60000</v>
      </c>
      <c r="C175" s="149" t="s">
        <v>154</v>
      </c>
      <c r="D175" s="150" t="s">
        <v>0</v>
      </c>
      <c r="E175" s="150" t="s">
        <v>0</v>
      </c>
      <c r="F175" s="145" t="s">
        <v>140</v>
      </c>
      <c r="G175" s="150" t="s">
        <v>0</v>
      </c>
      <c r="H175" s="150" t="s">
        <v>0</v>
      </c>
      <c r="I175" s="150" t="s">
        <v>0</v>
      </c>
      <c r="J175" s="151" t="s">
        <v>0</v>
      </c>
      <c r="K175" s="13">
        <v>1</v>
      </c>
      <c r="L175" s="12" t="s">
        <v>32</v>
      </c>
      <c r="M175" s="13">
        <v>6.5</v>
      </c>
      <c r="N175" s="13">
        <v>0</v>
      </c>
      <c r="O175" s="14">
        <v>6.5</v>
      </c>
      <c r="P175" s="113">
        <f t="shared" ref="P175:P176" si="481">SUM(BM175:BS175)</f>
        <v>1</v>
      </c>
      <c r="Q175" s="114">
        <f t="shared" ref="Q175:Q176" si="482">K175-P175</f>
        <v>0</v>
      </c>
      <c r="R175" s="114">
        <f t="shared" ref="R175:R176" si="483">SUM(BU175:CA175)</f>
        <v>6.5</v>
      </c>
      <c r="S175" s="114">
        <f t="shared" ref="S175:S176" si="484">O175-R175</f>
        <v>0</v>
      </c>
      <c r="T175" s="93">
        <f t="shared" ref="T175:T176" si="485">R175/O175</f>
        <v>1</v>
      </c>
      <c r="U175" t="s">
        <v>0</v>
      </c>
      <c r="V175" s="79"/>
      <c r="W175" s="76"/>
      <c r="X175" s="76"/>
      <c r="Y175" s="76"/>
      <c r="Z175" s="76"/>
      <c r="AA175" s="80"/>
      <c r="AB175" s="79"/>
      <c r="AC175" s="76"/>
      <c r="AD175" s="76"/>
      <c r="AE175" s="76">
        <v>1</v>
      </c>
      <c r="AF175" s="76"/>
      <c r="AG175" s="80"/>
      <c r="AH175" s="79"/>
      <c r="AI175" s="76"/>
      <c r="AJ175" s="76"/>
      <c r="AK175" s="76"/>
      <c r="AL175" s="76"/>
      <c r="AM175" s="80"/>
      <c r="AN175" s="79"/>
      <c r="AO175" s="76"/>
      <c r="AP175" s="76"/>
      <c r="AQ175" s="76"/>
      <c r="AR175" s="76"/>
      <c r="AS175" s="80"/>
      <c r="AT175" s="79"/>
      <c r="AU175" s="76"/>
      <c r="AV175" s="76"/>
      <c r="AW175" s="76"/>
      <c r="AX175" s="76"/>
      <c r="AY175" s="80"/>
      <c r="AZ175" s="79"/>
      <c r="BA175" s="76"/>
      <c r="BB175" s="76"/>
      <c r="BC175" s="76"/>
      <c r="BD175" s="76"/>
      <c r="BE175" s="80"/>
      <c r="BF175" s="79"/>
      <c r="BG175" s="76"/>
      <c r="BH175" s="76"/>
      <c r="BI175" s="76"/>
      <c r="BJ175" s="76"/>
      <c r="BK175" s="80"/>
      <c r="BM175" s="125">
        <f t="shared" ref="BM175:BM176" si="486">SUM(V175:AA175)</f>
        <v>0</v>
      </c>
      <c r="BN175" s="126">
        <f t="shared" ref="BN175:BN176" si="487">SUM(AB175:AG175)</f>
        <v>1</v>
      </c>
      <c r="BO175" s="126">
        <f t="shared" ref="BO175:BO176" si="488">SUM(AH175:AM175)</f>
        <v>0</v>
      </c>
      <c r="BP175" s="126">
        <f t="shared" ref="BP175:BP176" si="489">SUM(AN175:AS175)</f>
        <v>0</v>
      </c>
      <c r="BQ175" s="126">
        <f>SUM(AT175:AY175)</f>
        <v>0</v>
      </c>
      <c r="BR175" s="126">
        <f t="shared" ref="BR175:BS176" si="490">SUM(AZ175:BE175)</f>
        <v>0</v>
      </c>
      <c r="BS175" s="127">
        <f t="shared" ref="BS175:BS176" si="491">SUM(BF175:BK175)</f>
        <v>0</v>
      </c>
      <c r="BT175" s="74"/>
      <c r="BU175" s="125">
        <f t="shared" ref="BU175:BU176" si="492">(BM175/$K175)*$O175</f>
        <v>0</v>
      </c>
      <c r="BV175" s="126">
        <f t="shared" ref="BV175:BV176" si="493">(BN175/$K175)*$O175</f>
        <v>6.5</v>
      </c>
      <c r="BW175" s="126">
        <f t="shared" ref="BW175:BW176" si="494">(BO175/$K175)*$O175</f>
        <v>0</v>
      </c>
      <c r="BX175" s="126">
        <f t="shared" ref="BX175:BX176" si="495">(BP175/$K175)*$O175</f>
        <v>0</v>
      </c>
      <c r="BY175" s="126">
        <f t="shared" ref="BY175:CA176" si="496">(BQ175/$K175)*$O175</f>
        <v>0</v>
      </c>
      <c r="BZ175" s="126">
        <f t="shared" si="496"/>
        <v>0</v>
      </c>
      <c r="CA175" s="126">
        <f t="shared" si="496"/>
        <v>0</v>
      </c>
    </row>
    <row r="176" spans="1:79">
      <c r="A176" s="147" t="str">
        <f t="shared" si="331"/>
        <v>D</v>
      </c>
      <c r="B176" s="148">
        <f t="shared" si="332"/>
        <v>60000</v>
      </c>
      <c r="C176" s="149" t="s">
        <v>154</v>
      </c>
      <c r="D176" s="150" t="s">
        <v>0</v>
      </c>
      <c r="E176" s="150" t="s">
        <v>0</v>
      </c>
      <c r="F176" s="145" t="s">
        <v>141</v>
      </c>
      <c r="G176" s="150" t="s">
        <v>0</v>
      </c>
      <c r="H176" s="150" t="s">
        <v>0</v>
      </c>
      <c r="I176" s="150" t="s">
        <v>0</v>
      </c>
      <c r="J176" s="151" t="s">
        <v>0</v>
      </c>
      <c r="K176" s="13">
        <v>4</v>
      </c>
      <c r="L176" s="12" t="s">
        <v>32</v>
      </c>
      <c r="M176" s="13">
        <v>1</v>
      </c>
      <c r="N176" s="13">
        <v>0</v>
      </c>
      <c r="O176" s="14">
        <v>1</v>
      </c>
      <c r="P176" s="113">
        <f t="shared" si="481"/>
        <v>4</v>
      </c>
      <c r="Q176" s="114">
        <f t="shared" si="482"/>
        <v>0</v>
      </c>
      <c r="R176" s="114">
        <f t="shared" si="483"/>
        <v>1</v>
      </c>
      <c r="S176" s="114">
        <f t="shared" si="484"/>
        <v>0</v>
      </c>
      <c r="T176" s="93">
        <f t="shared" si="485"/>
        <v>1</v>
      </c>
      <c r="U176" t="s">
        <v>0</v>
      </c>
      <c r="V176" s="79"/>
      <c r="W176" s="76"/>
      <c r="X176" s="76"/>
      <c r="Y176" s="76"/>
      <c r="Z176" s="76"/>
      <c r="AA176" s="80"/>
      <c r="AB176" s="79"/>
      <c r="AC176" s="76"/>
      <c r="AD176" s="76"/>
      <c r="AE176" s="76">
        <v>4</v>
      </c>
      <c r="AF176" s="76"/>
      <c r="AG176" s="80"/>
      <c r="AH176" s="79"/>
      <c r="AI176" s="76"/>
      <c r="AJ176" s="76"/>
      <c r="AK176" s="76"/>
      <c r="AL176" s="76"/>
      <c r="AM176" s="80"/>
      <c r="AN176" s="79"/>
      <c r="AO176" s="76"/>
      <c r="AP176" s="76"/>
      <c r="AQ176" s="76"/>
      <c r="AR176" s="76"/>
      <c r="AS176" s="80"/>
      <c r="AT176" s="79"/>
      <c r="AU176" s="76"/>
      <c r="AV176" s="76"/>
      <c r="AW176" s="76"/>
      <c r="AX176" s="76"/>
      <c r="AY176" s="80"/>
      <c r="AZ176" s="79"/>
      <c r="BA176" s="76"/>
      <c r="BB176" s="76"/>
      <c r="BC176" s="76"/>
      <c r="BD176" s="76"/>
      <c r="BE176" s="80"/>
      <c r="BF176" s="79"/>
      <c r="BG176" s="76"/>
      <c r="BH176" s="76"/>
      <c r="BI176" s="76"/>
      <c r="BJ176" s="76"/>
      <c r="BK176" s="80"/>
      <c r="BM176" s="125">
        <f t="shared" si="486"/>
        <v>0</v>
      </c>
      <c r="BN176" s="126">
        <f t="shared" si="487"/>
        <v>4</v>
      </c>
      <c r="BO176" s="126">
        <f t="shared" si="488"/>
        <v>0</v>
      </c>
      <c r="BP176" s="126">
        <f t="shared" si="489"/>
        <v>0</v>
      </c>
      <c r="BQ176" s="126">
        <f>SUM(AT176:AY176)</f>
        <v>0</v>
      </c>
      <c r="BR176" s="126">
        <f t="shared" si="490"/>
        <v>0</v>
      </c>
      <c r="BS176" s="127">
        <f t="shared" si="491"/>
        <v>0</v>
      </c>
      <c r="BT176" s="74"/>
      <c r="BU176" s="125">
        <f t="shared" si="492"/>
        <v>0</v>
      </c>
      <c r="BV176" s="126">
        <f t="shared" si="493"/>
        <v>1</v>
      </c>
      <c r="BW176" s="126">
        <f t="shared" si="494"/>
        <v>0</v>
      </c>
      <c r="BX176" s="126">
        <f t="shared" si="495"/>
        <v>0</v>
      </c>
      <c r="BY176" s="126">
        <f t="shared" si="496"/>
        <v>0</v>
      </c>
      <c r="BZ176" s="126">
        <f t="shared" si="496"/>
        <v>0</v>
      </c>
      <c r="CA176" s="126">
        <f t="shared" si="496"/>
        <v>0</v>
      </c>
    </row>
    <row r="177" spans="1:79" ht="15.75">
      <c r="A177" s="152" t="str">
        <f t="shared" si="331"/>
        <v>P</v>
      </c>
      <c r="B177" s="153">
        <f t="shared" si="332"/>
        <v>60000</v>
      </c>
      <c r="C177" s="154" t="s">
        <v>156</v>
      </c>
      <c r="D177" s="155" t="s">
        <v>0</v>
      </c>
      <c r="E177" s="155" t="s">
        <v>0</v>
      </c>
      <c r="F177" s="156" t="s">
        <v>157</v>
      </c>
      <c r="G177" s="155" t="s">
        <v>0</v>
      </c>
      <c r="H177" s="155" t="s">
        <v>0</v>
      </c>
      <c r="I177" s="155" t="s">
        <v>0</v>
      </c>
      <c r="J177" s="157" t="s">
        <v>0</v>
      </c>
      <c r="K177" s="11" t="s">
        <v>0</v>
      </c>
      <c r="L177" s="8" t="s">
        <v>0</v>
      </c>
      <c r="M177" s="9">
        <v>15</v>
      </c>
      <c r="N177" s="9">
        <v>0</v>
      </c>
      <c r="O177" s="10">
        <v>15</v>
      </c>
      <c r="P177" s="111"/>
      <c r="Q177" s="112"/>
      <c r="R177" s="112">
        <f>SUMIFS(R178:R$415,$C178:$C$415,$C177)</f>
        <v>15</v>
      </c>
      <c r="S177" s="112">
        <f>SUMIFS(S178:S$415,$C178:$C$415,$C177)</f>
        <v>0</v>
      </c>
      <c r="T177" s="92">
        <f>R177/O177</f>
        <v>1</v>
      </c>
      <c r="V177" s="77"/>
      <c r="W177" s="75"/>
      <c r="X177" s="75"/>
      <c r="Y177" s="75"/>
      <c r="Z177" s="75"/>
      <c r="AA177" s="78"/>
      <c r="AB177" s="77"/>
      <c r="AC177" s="75"/>
      <c r="AD177" s="75"/>
      <c r="AE177" s="75"/>
      <c r="AF177" s="75"/>
      <c r="AG177" s="78"/>
      <c r="AH177" s="77"/>
      <c r="AI177" s="75"/>
      <c r="AJ177" s="75"/>
      <c r="AK177" s="75"/>
      <c r="AL177" s="75"/>
      <c r="AM177" s="78"/>
      <c r="AN177" s="77"/>
      <c r="AO177" s="75"/>
      <c r="AP177" s="75"/>
      <c r="AQ177" s="75"/>
      <c r="AR177" s="75"/>
      <c r="AS177" s="78"/>
      <c r="AT177" s="77"/>
      <c r="AU177" s="75"/>
      <c r="AV177" s="75"/>
      <c r="AW177" s="75"/>
      <c r="AX177" s="75"/>
      <c r="AY177" s="78"/>
      <c r="AZ177" s="77"/>
      <c r="BA177" s="75"/>
      <c r="BB177" s="75"/>
      <c r="BC177" s="75"/>
      <c r="BD177" s="75"/>
      <c r="BE177" s="78"/>
      <c r="BF177" s="77"/>
      <c r="BG177" s="75"/>
      <c r="BH177" s="75"/>
      <c r="BI177" s="75"/>
      <c r="BJ177" s="75"/>
      <c r="BK177" s="78"/>
      <c r="BM177" s="122"/>
      <c r="BN177" s="123"/>
      <c r="BO177" s="123"/>
      <c r="BP177" s="123"/>
      <c r="BQ177" s="123"/>
      <c r="BR177" s="123"/>
      <c r="BS177" s="124"/>
      <c r="BT177" s="74"/>
      <c r="BU177" s="122"/>
      <c r="BV177" s="123"/>
      <c r="BW177" s="123"/>
      <c r="BX177" s="123"/>
      <c r="BY177" s="123"/>
      <c r="BZ177" s="123"/>
      <c r="CA177" s="123"/>
    </row>
    <row r="178" spans="1:79">
      <c r="A178" s="147" t="str">
        <f t="shared" si="331"/>
        <v>D</v>
      </c>
      <c r="B178" s="148">
        <f t="shared" si="332"/>
        <v>60000</v>
      </c>
      <c r="C178" s="149" t="s">
        <v>156</v>
      </c>
      <c r="D178" s="150" t="s">
        <v>0</v>
      </c>
      <c r="E178" s="150" t="s">
        <v>0</v>
      </c>
      <c r="F178" s="145" t="s">
        <v>140</v>
      </c>
      <c r="G178" s="150" t="s">
        <v>0</v>
      </c>
      <c r="H178" s="150" t="s">
        <v>0</v>
      </c>
      <c r="I178" s="150" t="s">
        <v>0</v>
      </c>
      <c r="J178" s="151" t="s">
        <v>0</v>
      </c>
      <c r="K178" s="13">
        <v>2</v>
      </c>
      <c r="L178" s="12" t="s">
        <v>32</v>
      </c>
      <c r="M178" s="13">
        <v>13</v>
      </c>
      <c r="N178" s="13">
        <v>0</v>
      </c>
      <c r="O178" s="14">
        <v>13</v>
      </c>
      <c r="P178" s="113">
        <f t="shared" ref="P178:P179" si="497">SUM(BM178:BS178)</f>
        <v>2</v>
      </c>
      <c r="Q178" s="114">
        <f t="shared" ref="Q178:Q179" si="498">K178-P178</f>
        <v>0</v>
      </c>
      <c r="R178" s="114">
        <f t="shared" ref="R178:R179" si="499">SUM(BU178:CA178)</f>
        <v>13</v>
      </c>
      <c r="S178" s="114">
        <f t="shared" ref="S178:S179" si="500">O178-R178</f>
        <v>0</v>
      </c>
      <c r="T178" s="93">
        <f t="shared" ref="T178:T179" si="501">R178/O178</f>
        <v>1</v>
      </c>
      <c r="U178" t="s">
        <v>0</v>
      </c>
      <c r="V178" s="79"/>
      <c r="W178" s="76"/>
      <c r="X178" s="76"/>
      <c r="Y178" s="76"/>
      <c r="Z178" s="76"/>
      <c r="AA178" s="80"/>
      <c r="AB178" s="79"/>
      <c r="AC178" s="76"/>
      <c r="AD178" s="76"/>
      <c r="AE178" s="76">
        <v>1</v>
      </c>
      <c r="AF178" s="76"/>
      <c r="AG178" s="80">
        <v>1</v>
      </c>
      <c r="AH178" s="79"/>
      <c r="AI178" s="76"/>
      <c r="AJ178" s="76"/>
      <c r="AK178" s="76"/>
      <c r="AL178" s="76"/>
      <c r="AM178" s="80"/>
      <c r="AN178" s="79"/>
      <c r="AO178" s="76"/>
      <c r="AP178" s="76"/>
      <c r="AQ178" s="76"/>
      <c r="AR178" s="76"/>
      <c r="AS178" s="80"/>
      <c r="AT178" s="79"/>
      <c r="AU178" s="76"/>
      <c r="AV178" s="76"/>
      <c r="AW178" s="76"/>
      <c r="AX178" s="76"/>
      <c r="AY178" s="80"/>
      <c r="AZ178" s="79"/>
      <c r="BA178" s="76"/>
      <c r="BB178" s="76"/>
      <c r="BC178" s="76"/>
      <c r="BD178" s="76"/>
      <c r="BE178" s="80"/>
      <c r="BF178" s="79"/>
      <c r="BG178" s="76"/>
      <c r="BH178" s="76"/>
      <c r="BI178" s="76"/>
      <c r="BJ178" s="76"/>
      <c r="BK178" s="80"/>
      <c r="BM178" s="125">
        <f t="shared" ref="BM178:BM179" si="502">SUM(V178:AA178)</f>
        <v>0</v>
      </c>
      <c r="BN178" s="126">
        <f t="shared" ref="BN178:BN179" si="503">SUM(AB178:AG178)</f>
        <v>2</v>
      </c>
      <c r="BO178" s="126">
        <f t="shared" ref="BO178:BO179" si="504">SUM(AH178:AM178)</f>
        <v>0</v>
      </c>
      <c r="BP178" s="126">
        <f t="shared" ref="BP178:BP179" si="505">SUM(AN178:AS178)</f>
        <v>0</v>
      </c>
      <c r="BQ178" s="126">
        <f>SUM(AT178:AY178)</f>
        <v>0</v>
      </c>
      <c r="BR178" s="126">
        <f t="shared" ref="BR178:BS179" si="506">SUM(AZ178:BE178)</f>
        <v>0</v>
      </c>
      <c r="BS178" s="127">
        <f t="shared" ref="BS178:BS179" si="507">SUM(BF178:BK178)</f>
        <v>0</v>
      </c>
      <c r="BT178" s="74"/>
      <c r="BU178" s="125">
        <f t="shared" ref="BU178:BU179" si="508">(BM178/$K178)*$O178</f>
        <v>0</v>
      </c>
      <c r="BV178" s="126">
        <f t="shared" ref="BV178:BV179" si="509">(BN178/$K178)*$O178</f>
        <v>13</v>
      </c>
      <c r="BW178" s="126">
        <f t="shared" ref="BW178:BW179" si="510">(BO178/$K178)*$O178</f>
        <v>0</v>
      </c>
      <c r="BX178" s="126">
        <f t="shared" ref="BX178:BX179" si="511">(BP178/$K178)*$O178</f>
        <v>0</v>
      </c>
      <c r="BY178" s="126">
        <f t="shared" ref="BY178:CA179" si="512">(BQ178/$K178)*$O178</f>
        <v>0</v>
      </c>
      <c r="BZ178" s="126">
        <f t="shared" si="512"/>
        <v>0</v>
      </c>
      <c r="CA178" s="126">
        <f t="shared" si="512"/>
        <v>0</v>
      </c>
    </row>
    <row r="179" spans="1:79">
      <c r="A179" s="147" t="str">
        <f t="shared" si="331"/>
        <v>D</v>
      </c>
      <c r="B179" s="148">
        <f t="shared" si="332"/>
        <v>60000</v>
      </c>
      <c r="C179" s="149" t="s">
        <v>156</v>
      </c>
      <c r="D179" s="150" t="s">
        <v>0</v>
      </c>
      <c r="E179" s="150" t="s">
        <v>0</v>
      </c>
      <c r="F179" s="145" t="s">
        <v>141</v>
      </c>
      <c r="G179" s="150" t="s">
        <v>0</v>
      </c>
      <c r="H179" s="150" t="s">
        <v>0</v>
      </c>
      <c r="I179" s="150" t="s">
        <v>0</v>
      </c>
      <c r="J179" s="151" t="s">
        <v>0</v>
      </c>
      <c r="K179" s="13">
        <v>8</v>
      </c>
      <c r="L179" s="12" t="s">
        <v>32</v>
      </c>
      <c r="M179" s="13">
        <v>2</v>
      </c>
      <c r="N179" s="13">
        <v>0</v>
      </c>
      <c r="O179" s="14">
        <v>2</v>
      </c>
      <c r="P179" s="113">
        <f t="shared" si="497"/>
        <v>8</v>
      </c>
      <c r="Q179" s="114">
        <f t="shared" si="498"/>
        <v>0</v>
      </c>
      <c r="R179" s="114">
        <f t="shared" si="499"/>
        <v>2</v>
      </c>
      <c r="S179" s="114">
        <f t="shared" si="500"/>
        <v>0</v>
      </c>
      <c r="T179" s="93">
        <f t="shared" si="501"/>
        <v>1</v>
      </c>
      <c r="U179" t="s">
        <v>0</v>
      </c>
      <c r="V179" s="79"/>
      <c r="W179" s="76"/>
      <c r="X179" s="76"/>
      <c r="Y179" s="76"/>
      <c r="Z179" s="76"/>
      <c r="AA179" s="80"/>
      <c r="AB179" s="79"/>
      <c r="AC179" s="76"/>
      <c r="AD179" s="76"/>
      <c r="AE179" s="76">
        <v>4</v>
      </c>
      <c r="AF179" s="76"/>
      <c r="AG179" s="80">
        <v>4</v>
      </c>
      <c r="AH179" s="79"/>
      <c r="AI179" s="76"/>
      <c r="AJ179" s="76"/>
      <c r="AK179" s="76"/>
      <c r="AL179" s="76"/>
      <c r="AM179" s="80"/>
      <c r="AN179" s="79"/>
      <c r="AO179" s="76"/>
      <c r="AP179" s="76"/>
      <c r="AQ179" s="76"/>
      <c r="AR179" s="76"/>
      <c r="AS179" s="80"/>
      <c r="AT179" s="79"/>
      <c r="AU179" s="76"/>
      <c r="AV179" s="76"/>
      <c r="AW179" s="76"/>
      <c r="AX179" s="76"/>
      <c r="AY179" s="80"/>
      <c r="AZ179" s="79"/>
      <c r="BA179" s="76"/>
      <c r="BB179" s="76"/>
      <c r="BC179" s="76"/>
      <c r="BD179" s="76"/>
      <c r="BE179" s="80"/>
      <c r="BF179" s="79"/>
      <c r="BG179" s="76"/>
      <c r="BH179" s="76"/>
      <c r="BI179" s="76"/>
      <c r="BJ179" s="76"/>
      <c r="BK179" s="80"/>
      <c r="BM179" s="125">
        <f t="shared" si="502"/>
        <v>0</v>
      </c>
      <c r="BN179" s="126">
        <f t="shared" si="503"/>
        <v>8</v>
      </c>
      <c r="BO179" s="126">
        <f t="shared" si="504"/>
        <v>0</v>
      </c>
      <c r="BP179" s="126">
        <f t="shared" si="505"/>
        <v>0</v>
      </c>
      <c r="BQ179" s="126">
        <f>SUM(AT179:AY179)</f>
        <v>0</v>
      </c>
      <c r="BR179" s="126">
        <f t="shared" si="506"/>
        <v>0</v>
      </c>
      <c r="BS179" s="127">
        <f t="shared" si="507"/>
        <v>0</v>
      </c>
      <c r="BT179" s="74"/>
      <c r="BU179" s="125">
        <f t="shared" si="508"/>
        <v>0</v>
      </c>
      <c r="BV179" s="126">
        <f t="shared" si="509"/>
        <v>2</v>
      </c>
      <c r="BW179" s="126">
        <f t="shared" si="510"/>
        <v>0</v>
      </c>
      <c r="BX179" s="126">
        <f t="shared" si="511"/>
        <v>0</v>
      </c>
      <c r="BY179" s="126">
        <f t="shared" si="512"/>
        <v>0</v>
      </c>
      <c r="BZ179" s="126">
        <f t="shared" si="512"/>
        <v>0</v>
      </c>
      <c r="CA179" s="126">
        <f t="shared" si="512"/>
        <v>0</v>
      </c>
    </row>
    <row r="180" spans="1:79" ht="15.75">
      <c r="A180" s="152" t="str">
        <f t="shared" si="331"/>
        <v>P</v>
      </c>
      <c r="B180" s="153">
        <f t="shared" si="332"/>
        <v>60000</v>
      </c>
      <c r="C180" s="154" t="s">
        <v>158</v>
      </c>
      <c r="D180" s="155" t="s">
        <v>0</v>
      </c>
      <c r="E180" s="155" t="s">
        <v>0</v>
      </c>
      <c r="F180" s="156" t="s">
        <v>159</v>
      </c>
      <c r="G180" s="155" t="s">
        <v>0</v>
      </c>
      <c r="H180" s="155" t="s">
        <v>0</v>
      </c>
      <c r="I180" s="155" t="s">
        <v>0</v>
      </c>
      <c r="J180" s="157" t="s">
        <v>0</v>
      </c>
      <c r="K180" s="11" t="s">
        <v>0</v>
      </c>
      <c r="L180" s="8" t="s">
        <v>0</v>
      </c>
      <c r="M180" s="9">
        <v>15</v>
      </c>
      <c r="N180" s="9">
        <v>0</v>
      </c>
      <c r="O180" s="10">
        <v>15</v>
      </c>
      <c r="P180" s="111"/>
      <c r="Q180" s="112"/>
      <c r="R180" s="112">
        <f>SUMIFS(R181:R$415,$C181:$C$415,$C180)</f>
        <v>15</v>
      </c>
      <c r="S180" s="112">
        <f>SUMIFS(S181:S$415,$C181:$C$415,$C180)</f>
        <v>0</v>
      </c>
      <c r="T180" s="92">
        <f>R180/O180</f>
        <v>1</v>
      </c>
      <c r="V180" s="77"/>
      <c r="W180" s="75"/>
      <c r="X180" s="75"/>
      <c r="Y180" s="75"/>
      <c r="Z180" s="75"/>
      <c r="AA180" s="78"/>
      <c r="AB180" s="77"/>
      <c r="AC180" s="75"/>
      <c r="AD180" s="75"/>
      <c r="AE180" s="75"/>
      <c r="AF180" s="75"/>
      <c r="AG180" s="78"/>
      <c r="AH180" s="77"/>
      <c r="AI180" s="75"/>
      <c r="AJ180" s="75"/>
      <c r="AK180" s="75"/>
      <c r="AL180" s="75"/>
      <c r="AM180" s="78"/>
      <c r="AN180" s="77"/>
      <c r="AO180" s="75"/>
      <c r="AP180" s="75"/>
      <c r="AQ180" s="75"/>
      <c r="AR180" s="75"/>
      <c r="AS180" s="78"/>
      <c r="AT180" s="77"/>
      <c r="AU180" s="75"/>
      <c r="AV180" s="75"/>
      <c r="AW180" s="75"/>
      <c r="AX180" s="75"/>
      <c r="AY180" s="78"/>
      <c r="AZ180" s="77"/>
      <c r="BA180" s="75"/>
      <c r="BB180" s="75"/>
      <c r="BC180" s="75"/>
      <c r="BD180" s="75"/>
      <c r="BE180" s="78"/>
      <c r="BF180" s="77"/>
      <c r="BG180" s="75"/>
      <c r="BH180" s="75"/>
      <c r="BI180" s="75"/>
      <c r="BJ180" s="75"/>
      <c r="BK180" s="78"/>
      <c r="BM180" s="122"/>
      <c r="BN180" s="123"/>
      <c r="BO180" s="123"/>
      <c r="BP180" s="123"/>
      <c r="BQ180" s="123"/>
      <c r="BR180" s="123"/>
      <c r="BS180" s="124"/>
      <c r="BT180" s="74"/>
      <c r="BU180" s="122"/>
      <c r="BV180" s="123"/>
      <c r="BW180" s="123"/>
      <c r="BX180" s="123"/>
      <c r="BY180" s="123"/>
      <c r="BZ180" s="123"/>
      <c r="CA180" s="123"/>
    </row>
    <row r="181" spans="1:79">
      <c r="A181" s="147" t="str">
        <f t="shared" si="331"/>
        <v>D</v>
      </c>
      <c r="B181" s="148">
        <f t="shared" si="332"/>
        <v>60000</v>
      </c>
      <c r="C181" s="149" t="s">
        <v>158</v>
      </c>
      <c r="D181" s="150" t="s">
        <v>0</v>
      </c>
      <c r="E181" s="150" t="s">
        <v>0</v>
      </c>
      <c r="F181" s="145" t="s">
        <v>140</v>
      </c>
      <c r="G181" s="150" t="s">
        <v>0</v>
      </c>
      <c r="H181" s="150" t="s">
        <v>0</v>
      </c>
      <c r="I181" s="150" t="s">
        <v>0</v>
      </c>
      <c r="J181" s="151" t="s">
        <v>0</v>
      </c>
      <c r="K181" s="13">
        <v>2</v>
      </c>
      <c r="L181" s="12" t="s">
        <v>32</v>
      </c>
      <c r="M181" s="13">
        <v>13</v>
      </c>
      <c r="N181" s="13">
        <v>0</v>
      </c>
      <c r="O181" s="14">
        <v>13</v>
      </c>
      <c r="P181" s="113">
        <f t="shared" ref="P181:P182" si="513">SUM(BM181:BS181)</f>
        <v>2</v>
      </c>
      <c r="Q181" s="114">
        <f t="shared" ref="Q181:Q182" si="514">K181-P181</f>
        <v>0</v>
      </c>
      <c r="R181" s="114">
        <f t="shared" ref="R181:R182" si="515">SUM(BU181:CA181)</f>
        <v>13</v>
      </c>
      <c r="S181" s="114">
        <f t="shared" ref="S181:S182" si="516">O181-R181</f>
        <v>0</v>
      </c>
      <c r="T181" s="93">
        <f t="shared" ref="T181:T182" si="517">R181/O181</f>
        <v>1</v>
      </c>
      <c r="U181" t="s">
        <v>0</v>
      </c>
      <c r="V181" s="79"/>
      <c r="W181" s="76"/>
      <c r="X181" s="76"/>
      <c r="Y181" s="76"/>
      <c r="Z181" s="76"/>
      <c r="AA181" s="80"/>
      <c r="AB181" s="79"/>
      <c r="AC181" s="76"/>
      <c r="AD181" s="76"/>
      <c r="AE181" s="76"/>
      <c r="AF181" s="76">
        <v>2</v>
      </c>
      <c r="AG181" s="80"/>
      <c r="AH181" s="79"/>
      <c r="AI181" s="76"/>
      <c r="AJ181" s="76"/>
      <c r="AK181" s="76"/>
      <c r="AL181" s="76"/>
      <c r="AM181" s="80"/>
      <c r="AN181" s="79"/>
      <c r="AO181" s="76"/>
      <c r="AP181" s="76"/>
      <c r="AQ181" s="76"/>
      <c r="AR181" s="76"/>
      <c r="AS181" s="80"/>
      <c r="AT181" s="79"/>
      <c r="AU181" s="76"/>
      <c r="AV181" s="76"/>
      <c r="AW181" s="76"/>
      <c r="AX181" s="76"/>
      <c r="AY181" s="80"/>
      <c r="AZ181" s="79"/>
      <c r="BA181" s="76"/>
      <c r="BB181" s="76"/>
      <c r="BC181" s="76"/>
      <c r="BD181" s="76"/>
      <c r="BE181" s="80"/>
      <c r="BF181" s="79"/>
      <c r="BG181" s="76"/>
      <c r="BH181" s="76"/>
      <c r="BI181" s="76"/>
      <c r="BJ181" s="76"/>
      <c r="BK181" s="80"/>
      <c r="BM181" s="125">
        <f t="shared" ref="BM181:BM182" si="518">SUM(V181:AA181)</f>
        <v>0</v>
      </c>
      <c r="BN181" s="126">
        <f t="shared" ref="BN181:BN182" si="519">SUM(AB181:AG181)</f>
        <v>2</v>
      </c>
      <c r="BO181" s="126">
        <f t="shared" ref="BO181:BO182" si="520">SUM(AH181:AM181)</f>
        <v>0</v>
      </c>
      <c r="BP181" s="126">
        <f t="shared" ref="BP181:BP182" si="521">SUM(AN181:AS181)</f>
        <v>0</v>
      </c>
      <c r="BQ181" s="126">
        <f>SUM(AT181:AY181)</f>
        <v>0</v>
      </c>
      <c r="BR181" s="126">
        <f t="shared" ref="BR181:BS182" si="522">SUM(AZ181:BE181)</f>
        <v>0</v>
      </c>
      <c r="BS181" s="127">
        <f t="shared" ref="BS181:BS182" si="523">SUM(BF181:BK181)</f>
        <v>0</v>
      </c>
      <c r="BT181" s="74"/>
      <c r="BU181" s="125">
        <f t="shared" ref="BU181:BU182" si="524">(BM181/$K181)*$O181</f>
        <v>0</v>
      </c>
      <c r="BV181" s="126">
        <f t="shared" ref="BV181:BV182" si="525">(BN181/$K181)*$O181</f>
        <v>13</v>
      </c>
      <c r="BW181" s="126">
        <f t="shared" ref="BW181:BW182" si="526">(BO181/$K181)*$O181</f>
        <v>0</v>
      </c>
      <c r="BX181" s="126">
        <f t="shared" ref="BX181:BX182" si="527">(BP181/$K181)*$O181</f>
        <v>0</v>
      </c>
      <c r="BY181" s="126">
        <f t="shared" ref="BY181:CA182" si="528">(BQ181/$K181)*$O181</f>
        <v>0</v>
      </c>
      <c r="BZ181" s="126">
        <f t="shared" si="528"/>
        <v>0</v>
      </c>
      <c r="CA181" s="126">
        <f t="shared" si="528"/>
        <v>0</v>
      </c>
    </row>
    <row r="182" spans="1:79">
      <c r="A182" s="147" t="str">
        <f t="shared" si="331"/>
        <v>D</v>
      </c>
      <c r="B182" s="148">
        <f t="shared" si="332"/>
        <v>60000</v>
      </c>
      <c r="C182" s="149" t="s">
        <v>158</v>
      </c>
      <c r="D182" s="150" t="s">
        <v>0</v>
      </c>
      <c r="E182" s="150" t="s">
        <v>0</v>
      </c>
      <c r="F182" s="145" t="s">
        <v>141</v>
      </c>
      <c r="G182" s="150" t="s">
        <v>0</v>
      </c>
      <c r="H182" s="150" t="s">
        <v>0</v>
      </c>
      <c r="I182" s="150" t="s">
        <v>0</v>
      </c>
      <c r="J182" s="151" t="s">
        <v>0</v>
      </c>
      <c r="K182" s="13">
        <v>8</v>
      </c>
      <c r="L182" s="12" t="s">
        <v>32</v>
      </c>
      <c r="M182" s="13">
        <v>2</v>
      </c>
      <c r="N182" s="13">
        <v>0</v>
      </c>
      <c r="O182" s="14">
        <v>2</v>
      </c>
      <c r="P182" s="113">
        <f t="shared" si="513"/>
        <v>8</v>
      </c>
      <c r="Q182" s="114">
        <f t="shared" si="514"/>
        <v>0</v>
      </c>
      <c r="R182" s="114">
        <f t="shared" si="515"/>
        <v>2</v>
      </c>
      <c r="S182" s="114">
        <f t="shared" si="516"/>
        <v>0</v>
      </c>
      <c r="T182" s="93">
        <f t="shared" si="517"/>
        <v>1</v>
      </c>
      <c r="U182" t="s">
        <v>0</v>
      </c>
      <c r="V182" s="79"/>
      <c r="W182" s="76"/>
      <c r="X182" s="76"/>
      <c r="Y182" s="76"/>
      <c r="Z182" s="76"/>
      <c r="AA182" s="80"/>
      <c r="AB182" s="79"/>
      <c r="AC182" s="76"/>
      <c r="AD182" s="76"/>
      <c r="AE182" s="76"/>
      <c r="AF182" s="76">
        <v>8</v>
      </c>
      <c r="AG182" s="80"/>
      <c r="AH182" s="79"/>
      <c r="AI182" s="76"/>
      <c r="AJ182" s="76"/>
      <c r="AK182" s="76"/>
      <c r="AL182" s="76"/>
      <c r="AM182" s="80"/>
      <c r="AN182" s="79"/>
      <c r="AO182" s="76"/>
      <c r="AP182" s="76"/>
      <c r="AQ182" s="76"/>
      <c r="AR182" s="76"/>
      <c r="AS182" s="80"/>
      <c r="AT182" s="79"/>
      <c r="AU182" s="76"/>
      <c r="AV182" s="76"/>
      <c r="AW182" s="76"/>
      <c r="AX182" s="76"/>
      <c r="AY182" s="80"/>
      <c r="AZ182" s="79"/>
      <c r="BA182" s="76"/>
      <c r="BB182" s="76"/>
      <c r="BC182" s="76"/>
      <c r="BD182" s="76"/>
      <c r="BE182" s="80"/>
      <c r="BF182" s="79"/>
      <c r="BG182" s="76"/>
      <c r="BH182" s="76"/>
      <c r="BI182" s="76"/>
      <c r="BJ182" s="76"/>
      <c r="BK182" s="80"/>
      <c r="BM182" s="125">
        <f t="shared" si="518"/>
        <v>0</v>
      </c>
      <c r="BN182" s="126">
        <f t="shared" si="519"/>
        <v>8</v>
      </c>
      <c r="BO182" s="126">
        <f t="shared" si="520"/>
        <v>0</v>
      </c>
      <c r="BP182" s="126">
        <f t="shared" si="521"/>
        <v>0</v>
      </c>
      <c r="BQ182" s="126">
        <f>SUM(AT182:AY182)</f>
        <v>0</v>
      </c>
      <c r="BR182" s="126">
        <f t="shared" si="522"/>
        <v>0</v>
      </c>
      <c r="BS182" s="127">
        <f t="shared" si="523"/>
        <v>0</v>
      </c>
      <c r="BT182" s="74"/>
      <c r="BU182" s="125">
        <f t="shared" si="524"/>
        <v>0</v>
      </c>
      <c r="BV182" s="126">
        <f t="shared" si="525"/>
        <v>2</v>
      </c>
      <c r="BW182" s="126">
        <f t="shared" si="526"/>
        <v>0</v>
      </c>
      <c r="BX182" s="126">
        <f t="shared" si="527"/>
        <v>0</v>
      </c>
      <c r="BY182" s="126">
        <f t="shared" si="528"/>
        <v>0</v>
      </c>
      <c r="BZ182" s="126">
        <f t="shared" si="528"/>
        <v>0</v>
      </c>
      <c r="CA182" s="126">
        <f t="shared" si="528"/>
        <v>0</v>
      </c>
    </row>
    <row r="183" spans="1:79" ht="15.75">
      <c r="A183" s="152" t="str">
        <f t="shared" si="331"/>
        <v>P</v>
      </c>
      <c r="B183" s="153">
        <f t="shared" si="332"/>
        <v>60000</v>
      </c>
      <c r="C183" s="154" t="s">
        <v>160</v>
      </c>
      <c r="D183" s="155" t="s">
        <v>0</v>
      </c>
      <c r="E183" s="155" t="s">
        <v>0</v>
      </c>
      <c r="F183" s="156" t="s">
        <v>161</v>
      </c>
      <c r="G183" s="155" t="s">
        <v>0</v>
      </c>
      <c r="H183" s="155" t="s">
        <v>0</v>
      </c>
      <c r="I183" s="155" t="s">
        <v>0</v>
      </c>
      <c r="J183" s="157" t="s">
        <v>0</v>
      </c>
      <c r="K183" s="11" t="s">
        <v>0</v>
      </c>
      <c r="L183" s="8" t="s">
        <v>0</v>
      </c>
      <c r="M183" s="9">
        <v>37.5</v>
      </c>
      <c r="N183" s="9">
        <v>0</v>
      </c>
      <c r="O183" s="10">
        <v>37.5</v>
      </c>
      <c r="P183" s="111"/>
      <c r="Q183" s="112"/>
      <c r="R183" s="112">
        <f>SUMIFS(R184:R$415,$C184:$C$415,$C183)</f>
        <v>37.5</v>
      </c>
      <c r="S183" s="112">
        <f>SUMIFS(S184:S$415,$C184:$C$415,$C183)</f>
        <v>0</v>
      </c>
      <c r="T183" s="92">
        <f>R183/O183</f>
        <v>1</v>
      </c>
      <c r="V183" s="77"/>
      <c r="W183" s="75"/>
      <c r="X183" s="75"/>
      <c r="Y183" s="75"/>
      <c r="Z183" s="75"/>
      <c r="AA183" s="78"/>
      <c r="AB183" s="77"/>
      <c r="AC183" s="75"/>
      <c r="AD183" s="75"/>
      <c r="AE183" s="75"/>
      <c r="AF183" s="75"/>
      <c r="AG183" s="78"/>
      <c r="AH183" s="77"/>
      <c r="AI183" s="75"/>
      <c r="AJ183" s="75"/>
      <c r="AK183" s="75"/>
      <c r="AL183" s="75"/>
      <c r="AM183" s="78"/>
      <c r="AN183" s="77"/>
      <c r="AO183" s="75"/>
      <c r="AP183" s="75"/>
      <c r="AQ183" s="75"/>
      <c r="AR183" s="75"/>
      <c r="AS183" s="78"/>
      <c r="AT183" s="77"/>
      <c r="AU183" s="75"/>
      <c r="AV183" s="75"/>
      <c r="AW183" s="75"/>
      <c r="AX183" s="75"/>
      <c r="AY183" s="78"/>
      <c r="AZ183" s="77"/>
      <c r="BA183" s="75"/>
      <c r="BB183" s="75"/>
      <c r="BC183" s="75"/>
      <c r="BD183" s="75"/>
      <c r="BE183" s="78"/>
      <c r="BF183" s="77"/>
      <c r="BG183" s="75"/>
      <c r="BH183" s="75"/>
      <c r="BI183" s="75"/>
      <c r="BJ183" s="75"/>
      <c r="BK183" s="78"/>
      <c r="BM183" s="122"/>
      <c r="BN183" s="123"/>
      <c r="BO183" s="123"/>
      <c r="BP183" s="123"/>
      <c r="BQ183" s="123"/>
      <c r="BR183" s="123"/>
      <c r="BS183" s="124"/>
      <c r="BT183" s="74"/>
      <c r="BU183" s="122"/>
      <c r="BV183" s="123"/>
      <c r="BW183" s="123"/>
      <c r="BX183" s="123"/>
      <c r="BY183" s="123"/>
      <c r="BZ183" s="123"/>
      <c r="CA183" s="123"/>
    </row>
    <row r="184" spans="1:79">
      <c r="A184" s="147" t="str">
        <f t="shared" si="331"/>
        <v>D</v>
      </c>
      <c r="B184" s="148">
        <f t="shared" si="332"/>
        <v>60000</v>
      </c>
      <c r="C184" s="149" t="s">
        <v>160</v>
      </c>
      <c r="D184" s="150" t="s">
        <v>0</v>
      </c>
      <c r="E184" s="150" t="s">
        <v>0</v>
      </c>
      <c r="F184" s="145" t="s">
        <v>140</v>
      </c>
      <c r="G184" s="150" t="s">
        <v>0</v>
      </c>
      <c r="H184" s="150" t="s">
        <v>0</v>
      </c>
      <c r="I184" s="150" t="s">
        <v>0</v>
      </c>
      <c r="J184" s="151" t="s">
        <v>0</v>
      </c>
      <c r="K184" s="13">
        <v>5</v>
      </c>
      <c r="L184" s="12" t="s">
        <v>32</v>
      </c>
      <c r="M184" s="13">
        <v>32.5</v>
      </c>
      <c r="N184" s="13">
        <v>0</v>
      </c>
      <c r="O184" s="14">
        <v>32.5</v>
      </c>
      <c r="P184" s="113">
        <f t="shared" ref="P184:P185" si="529">SUM(BM184:BS184)</f>
        <v>5</v>
      </c>
      <c r="Q184" s="114">
        <f t="shared" ref="Q184:Q185" si="530">K184-P184</f>
        <v>0</v>
      </c>
      <c r="R184" s="114">
        <f t="shared" ref="R184:R185" si="531">SUM(BU184:CA184)</f>
        <v>32.5</v>
      </c>
      <c r="S184" s="114">
        <f t="shared" ref="S184:S185" si="532">O184-R184</f>
        <v>0</v>
      </c>
      <c r="T184" s="93">
        <f t="shared" ref="T184:T185" si="533">R184/O184</f>
        <v>1</v>
      </c>
      <c r="U184" t="s">
        <v>0</v>
      </c>
      <c r="V184" s="79"/>
      <c r="W184" s="76"/>
      <c r="X184" s="76"/>
      <c r="Y184" s="76"/>
      <c r="Z184" s="76"/>
      <c r="AA184" s="80"/>
      <c r="AB184" s="79"/>
      <c r="AC184" s="76"/>
      <c r="AD184" s="76"/>
      <c r="AE184" s="76"/>
      <c r="AF184" s="76">
        <v>1</v>
      </c>
      <c r="AG184" s="80">
        <v>2</v>
      </c>
      <c r="AH184" s="79"/>
      <c r="AI184" s="76"/>
      <c r="AJ184" s="76"/>
      <c r="AK184" s="76">
        <v>2</v>
      </c>
      <c r="AL184" s="76"/>
      <c r="AM184" s="80"/>
      <c r="AN184" s="79"/>
      <c r="AO184" s="76"/>
      <c r="AP184" s="76"/>
      <c r="AQ184" s="76"/>
      <c r="AR184" s="76"/>
      <c r="AS184" s="80"/>
      <c r="AT184" s="79"/>
      <c r="AU184" s="76"/>
      <c r="AV184" s="76"/>
      <c r="AW184" s="76"/>
      <c r="AX184" s="76"/>
      <c r="AY184" s="80"/>
      <c r="AZ184" s="79"/>
      <c r="BA184" s="76"/>
      <c r="BB184" s="76"/>
      <c r="BC184" s="76"/>
      <c r="BD184" s="76"/>
      <c r="BE184" s="80"/>
      <c r="BF184" s="79"/>
      <c r="BG184" s="76"/>
      <c r="BH184" s="76"/>
      <c r="BI184" s="76"/>
      <c r="BJ184" s="76"/>
      <c r="BK184" s="80"/>
      <c r="BM184" s="125">
        <f t="shared" ref="BM184:BM185" si="534">SUM(V184:AA184)</f>
        <v>0</v>
      </c>
      <c r="BN184" s="126">
        <f t="shared" ref="BN184:BN185" si="535">SUM(AB184:AG184)</f>
        <v>3</v>
      </c>
      <c r="BO184" s="126">
        <f t="shared" ref="BO184:BO185" si="536">SUM(AH184:AM184)</f>
        <v>2</v>
      </c>
      <c r="BP184" s="126">
        <f t="shared" ref="BP184:BP185" si="537">SUM(AN184:AS184)</f>
        <v>0</v>
      </c>
      <c r="BQ184" s="126">
        <f>SUM(AT184:AY184)</f>
        <v>0</v>
      </c>
      <c r="BR184" s="126">
        <f t="shared" ref="BR184:BS185" si="538">SUM(AZ184:BE184)</f>
        <v>0</v>
      </c>
      <c r="BS184" s="127">
        <f t="shared" ref="BS184:BS185" si="539">SUM(BF184:BK184)</f>
        <v>0</v>
      </c>
      <c r="BT184" s="74"/>
      <c r="BU184" s="125">
        <f t="shared" ref="BU184:BU185" si="540">(BM184/$K184)*$O184</f>
        <v>0</v>
      </c>
      <c r="BV184" s="126">
        <f t="shared" ref="BV184:BV185" si="541">(BN184/$K184)*$O184</f>
        <v>19.5</v>
      </c>
      <c r="BW184" s="126">
        <f t="shared" ref="BW184:BW185" si="542">(BO184/$K184)*$O184</f>
        <v>13</v>
      </c>
      <c r="BX184" s="126">
        <f t="shared" ref="BX184:BX185" si="543">(BP184/$K184)*$O184</f>
        <v>0</v>
      </c>
      <c r="BY184" s="126">
        <f t="shared" ref="BY184:CA185" si="544">(BQ184/$K184)*$O184</f>
        <v>0</v>
      </c>
      <c r="BZ184" s="126">
        <f t="shared" si="544"/>
        <v>0</v>
      </c>
      <c r="CA184" s="126">
        <f t="shared" si="544"/>
        <v>0</v>
      </c>
    </row>
    <row r="185" spans="1:79">
      <c r="A185" s="147" t="str">
        <f t="shared" si="331"/>
        <v>D</v>
      </c>
      <c r="B185" s="148">
        <f t="shared" si="332"/>
        <v>60000</v>
      </c>
      <c r="C185" s="149" t="s">
        <v>160</v>
      </c>
      <c r="D185" s="150" t="s">
        <v>0</v>
      </c>
      <c r="E185" s="150" t="s">
        <v>0</v>
      </c>
      <c r="F185" s="145" t="s">
        <v>141</v>
      </c>
      <c r="G185" s="150" t="s">
        <v>0</v>
      </c>
      <c r="H185" s="150" t="s">
        <v>0</v>
      </c>
      <c r="I185" s="150" t="s">
        <v>0</v>
      </c>
      <c r="J185" s="151" t="s">
        <v>0</v>
      </c>
      <c r="K185" s="13">
        <v>20</v>
      </c>
      <c r="L185" s="12" t="s">
        <v>32</v>
      </c>
      <c r="M185" s="13">
        <v>5</v>
      </c>
      <c r="N185" s="13">
        <v>0</v>
      </c>
      <c r="O185" s="14">
        <v>5</v>
      </c>
      <c r="P185" s="113">
        <f t="shared" si="529"/>
        <v>20</v>
      </c>
      <c r="Q185" s="114">
        <f t="shared" si="530"/>
        <v>0</v>
      </c>
      <c r="R185" s="114">
        <f t="shared" si="531"/>
        <v>5</v>
      </c>
      <c r="S185" s="114">
        <f t="shared" si="532"/>
        <v>0</v>
      </c>
      <c r="T185" s="93">
        <f t="shared" si="533"/>
        <v>1</v>
      </c>
      <c r="U185" t="s">
        <v>0</v>
      </c>
      <c r="V185" s="79"/>
      <c r="W185" s="76"/>
      <c r="X185" s="76"/>
      <c r="Y185" s="76"/>
      <c r="Z185" s="76"/>
      <c r="AA185" s="80"/>
      <c r="AB185" s="79"/>
      <c r="AC185" s="76"/>
      <c r="AD185" s="76"/>
      <c r="AE185" s="76"/>
      <c r="AF185" s="76">
        <v>4</v>
      </c>
      <c r="AG185" s="80">
        <v>8</v>
      </c>
      <c r="AH185" s="79"/>
      <c r="AI185" s="76"/>
      <c r="AJ185" s="76"/>
      <c r="AK185" s="76">
        <v>8</v>
      </c>
      <c r="AL185" s="76"/>
      <c r="AM185" s="80"/>
      <c r="AN185" s="79"/>
      <c r="AO185" s="76"/>
      <c r="AP185" s="76"/>
      <c r="AQ185" s="76"/>
      <c r="AR185" s="76"/>
      <c r="AS185" s="80"/>
      <c r="AT185" s="79"/>
      <c r="AU185" s="76"/>
      <c r="AV185" s="76"/>
      <c r="AW185" s="76"/>
      <c r="AX185" s="76"/>
      <c r="AY185" s="80"/>
      <c r="AZ185" s="79"/>
      <c r="BA185" s="76"/>
      <c r="BB185" s="76"/>
      <c r="BC185" s="76"/>
      <c r="BD185" s="76"/>
      <c r="BE185" s="80"/>
      <c r="BF185" s="79"/>
      <c r="BG185" s="76"/>
      <c r="BH185" s="76"/>
      <c r="BI185" s="76"/>
      <c r="BJ185" s="76"/>
      <c r="BK185" s="80"/>
      <c r="BM185" s="125">
        <f t="shared" si="534"/>
        <v>0</v>
      </c>
      <c r="BN185" s="126">
        <f t="shared" si="535"/>
        <v>12</v>
      </c>
      <c r="BO185" s="126">
        <f t="shared" si="536"/>
        <v>8</v>
      </c>
      <c r="BP185" s="126">
        <f t="shared" si="537"/>
        <v>0</v>
      </c>
      <c r="BQ185" s="126">
        <f>SUM(AT185:AY185)</f>
        <v>0</v>
      </c>
      <c r="BR185" s="126">
        <f t="shared" si="538"/>
        <v>0</v>
      </c>
      <c r="BS185" s="127">
        <f t="shared" si="539"/>
        <v>0</v>
      </c>
      <c r="BT185" s="74"/>
      <c r="BU185" s="125">
        <f t="shared" si="540"/>
        <v>0</v>
      </c>
      <c r="BV185" s="126">
        <f t="shared" si="541"/>
        <v>3</v>
      </c>
      <c r="BW185" s="126">
        <f t="shared" si="542"/>
        <v>2</v>
      </c>
      <c r="BX185" s="126">
        <f t="shared" si="543"/>
        <v>0</v>
      </c>
      <c r="BY185" s="126">
        <f t="shared" si="544"/>
        <v>0</v>
      </c>
      <c r="BZ185" s="126">
        <f t="shared" si="544"/>
        <v>0</v>
      </c>
      <c r="CA185" s="126">
        <f t="shared" si="544"/>
        <v>0</v>
      </c>
    </row>
    <row r="186" spans="1:79" ht="18.75">
      <c r="A186" s="158" t="str">
        <f t="shared" si="331"/>
        <v>W</v>
      </c>
      <c r="B186" s="159">
        <f t="shared" si="332"/>
        <v>70000</v>
      </c>
      <c r="C186" s="160" t="s">
        <v>14</v>
      </c>
      <c r="D186" s="161" t="s">
        <v>0</v>
      </c>
      <c r="E186" s="161" t="s">
        <v>0</v>
      </c>
      <c r="F186" s="162" t="s">
        <v>162</v>
      </c>
      <c r="G186" s="161" t="s">
        <v>0</v>
      </c>
      <c r="H186" s="161" t="s">
        <v>0</v>
      </c>
      <c r="I186" s="161" t="s">
        <v>0</v>
      </c>
      <c r="J186" s="163" t="s">
        <v>0</v>
      </c>
      <c r="K186" s="6" t="s">
        <v>0</v>
      </c>
      <c r="L186" s="3" t="s">
        <v>0</v>
      </c>
      <c r="M186" s="4">
        <v>836.50000000000011</v>
      </c>
      <c r="N186" s="4">
        <v>241.57</v>
      </c>
      <c r="O186" s="5">
        <v>1078.0700000000002</v>
      </c>
      <c r="P186" s="115"/>
      <c r="Q186" s="116"/>
      <c r="R186" s="116">
        <f>SUMIFS(R187:R$415,$A187:$A$415,"P",$B187:$B$415,$B186)</f>
        <v>783.20500000000004</v>
      </c>
      <c r="S186" s="116">
        <f>SUMIFS(S187:S$415,$A187:$A$415,"P",$B187:$B$415,$B186)</f>
        <v>294.86500000000001</v>
      </c>
      <c r="T186" s="94">
        <f>R186/O186</f>
        <v>0.72648807591343778</v>
      </c>
      <c r="V186" s="77"/>
      <c r="W186" s="75"/>
      <c r="X186" s="75"/>
      <c r="Y186" s="75"/>
      <c r="Z186" s="75"/>
      <c r="AA186" s="78"/>
      <c r="AB186" s="77"/>
      <c r="AC186" s="75"/>
      <c r="AD186" s="75"/>
      <c r="AE186" s="75"/>
      <c r="AF186" s="75"/>
      <c r="AG186" s="78"/>
      <c r="AH186" s="77"/>
      <c r="AI186" s="75"/>
      <c r="AJ186" s="75"/>
      <c r="AK186" s="75"/>
      <c r="AL186" s="75"/>
      <c r="AM186" s="78"/>
      <c r="AN186" s="77"/>
      <c r="AO186" s="75"/>
      <c r="AP186" s="75"/>
      <c r="AQ186" s="75"/>
      <c r="AR186" s="75"/>
      <c r="AS186" s="78"/>
      <c r="AT186" s="77"/>
      <c r="AU186" s="75"/>
      <c r="AV186" s="75"/>
      <c r="AW186" s="75"/>
      <c r="AX186" s="75"/>
      <c r="AY186" s="78"/>
      <c r="AZ186" s="77"/>
      <c r="BA186" s="75"/>
      <c r="BB186" s="75"/>
      <c r="BC186" s="75"/>
      <c r="BD186" s="75"/>
      <c r="BE186" s="78"/>
      <c r="BF186" s="77"/>
      <c r="BG186" s="75"/>
      <c r="BH186" s="75"/>
      <c r="BI186" s="75"/>
      <c r="BJ186" s="75"/>
      <c r="BK186" s="78"/>
      <c r="BM186" s="122"/>
      <c r="BN186" s="123"/>
      <c r="BO186" s="123"/>
      <c r="BP186" s="123"/>
      <c r="BQ186" s="123"/>
      <c r="BR186" s="123"/>
      <c r="BS186" s="124"/>
      <c r="BT186" s="74"/>
      <c r="BU186" s="122"/>
      <c r="BV186" s="123"/>
      <c r="BW186" s="123"/>
      <c r="BX186" s="123"/>
      <c r="BY186" s="123"/>
      <c r="BZ186" s="123"/>
      <c r="CA186" s="123"/>
    </row>
    <row r="187" spans="1:79" ht="15.75">
      <c r="A187" s="152" t="str">
        <f t="shared" si="331"/>
        <v>P</v>
      </c>
      <c r="B187" s="153">
        <f t="shared" si="332"/>
        <v>70000</v>
      </c>
      <c r="C187" s="154" t="s">
        <v>163</v>
      </c>
      <c r="D187" s="155" t="s">
        <v>0</v>
      </c>
      <c r="E187" s="155" t="s">
        <v>0</v>
      </c>
      <c r="F187" s="156" t="s">
        <v>164</v>
      </c>
      <c r="G187" s="155" t="s">
        <v>165</v>
      </c>
      <c r="H187" s="155" t="s">
        <v>0</v>
      </c>
      <c r="I187" s="155" t="s">
        <v>0</v>
      </c>
      <c r="J187" s="157" t="s">
        <v>54</v>
      </c>
      <c r="K187" s="9">
        <v>9</v>
      </c>
      <c r="L187" s="8" t="s">
        <v>56</v>
      </c>
      <c r="M187" s="9">
        <v>25.49</v>
      </c>
      <c r="N187" s="9">
        <v>0</v>
      </c>
      <c r="O187" s="10">
        <v>25.49</v>
      </c>
      <c r="P187" s="111"/>
      <c r="Q187" s="112"/>
      <c r="R187" s="112">
        <f>SUMIFS(R188:R$415,$C188:$C$415,$C187)</f>
        <v>25.49</v>
      </c>
      <c r="S187" s="112">
        <f>SUMIFS(S188:S$415,$C188:$C$415,$C187)</f>
        <v>0</v>
      </c>
      <c r="T187" s="92">
        <f>R187/O187</f>
        <v>1</v>
      </c>
      <c r="V187" s="77"/>
      <c r="W187" s="75"/>
      <c r="X187" s="75"/>
      <c r="Y187" s="75"/>
      <c r="Z187" s="75"/>
      <c r="AA187" s="78"/>
      <c r="AB187" s="77"/>
      <c r="AC187" s="75"/>
      <c r="AD187" s="75"/>
      <c r="AE187" s="75"/>
      <c r="AF187" s="75"/>
      <c r="AG187" s="78"/>
      <c r="AH187" s="77"/>
      <c r="AI187" s="75"/>
      <c r="AJ187" s="75"/>
      <c r="AK187" s="75"/>
      <c r="AL187" s="75"/>
      <c r="AM187" s="78"/>
      <c r="AN187" s="77"/>
      <c r="AO187" s="75"/>
      <c r="AP187" s="75"/>
      <c r="AQ187" s="75"/>
      <c r="AR187" s="75"/>
      <c r="AS187" s="78"/>
      <c r="AT187" s="77"/>
      <c r="AU187" s="75"/>
      <c r="AV187" s="75"/>
      <c r="AW187" s="75"/>
      <c r="AX187" s="75"/>
      <c r="AY187" s="78"/>
      <c r="AZ187" s="77"/>
      <c r="BA187" s="75"/>
      <c r="BB187" s="75"/>
      <c r="BC187" s="75"/>
      <c r="BD187" s="75"/>
      <c r="BE187" s="78"/>
      <c r="BF187" s="77"/>
      <c r="BG187" s="75"/>
      <c r="BH187" s="75"/>
      <c r="BI187" s="75"/>
      <c r="BJ187" s="75"/>
      <c r="BK187" s="78"/>
      <c r="BM187" s="122"/>
      <c r="BN187" s="123"/>
      <c r="BO187" s="123"/>
      <c r="BP187" s="123"/>
      <c r="BQ187" s="123"/>
      <c r="BR187" s="123"/>
      <c r="BS187" s="124"/>
      <c r="BT187" s="74"/>
      <c r="BU187" s="122"/>
      <c r="BV187" s="123"/>
      <c r="BW187" s="123"/>
      <c r="BX187" s="123"/>
      <c r="BY187" s="123"/>
      <c r="BZ187" s="123"/>
      <c r="CA187" s="123"/>
    </row>
    <row r="188" spans="1:79">
      <c r="A188" s="147" t="str">
        <f t="shared" si="331"/>
        <v>D</v>
      </c>
      <c r="B188" s="148">
        <f t="shared" si="332"/>
        <v>70000</v>
      </c>
      <c r="C188" s="149" t="s">
        <v>163</v>
      </c>
      <c r="D188" s="150" t="s">
        <v>0</v>
      </c>
      <c r="E188" s="150" t="s">
        <v>0</v>
      </c>
      <c r="F188" s="145" t="s">
        <v>166</v>
      </c>
      <c r="G188" s="150" t="s">
        <v>165</v>
      </c>
      <c r="H188" s="150" t="s">
        <v>0</v>
      </c>
      <c r="I188" s="150" t="s">
        <v>0</v>
      </c>
      <c r="J188" s="151" t="s">
        <v>54</v>
      </c>
      <c r="K188" s="13">
        <v>3</v>
      </c>
      <c r="L188" s="12" t="s">
        <v>56</v>
      </c>
      <c r="M188" s="13">
        <v>1.92</v>
      </c>
      <c r="N188" s="13">
        <v>0</v>
      </c>
      <c r="O188" s="14">
        <v>1.92</v>
      </c>
      <c r="P188" s="113">
        <f t="shared" ref="P188:P194" si="545">SUM(BM188:BS188)</f>
        <v>3</v>
      </c>
      <c r="Q188" s="114">
        <f t="shared" ref="Q188:Q194" si="546">K188-P188</f>
        <v>0</v>
      </c>
      <c r="R188" s="114">
        <f t="shared" ref="R188:R194" si="547">SUM(BU188:CA188)</f>
        <v>1.92</v>
      </c>
      <c r="S188" s="114">
        <f t="shared" ref="S188:S194" si="548">O188-R188</f>
        <v>0</v>
      </c>
      <c r="T188" s="93">
        <f t="shared" ref="T188:T194" si="549">R188/O188</f>
        <v>1</v>
      </c>
      <c r="U188" t="s">
        <v>0</v>
      </c>
      <c r="V188" s="79"/>
      <c r="W188" s="76"/>
      <c r="X188" s="76"/>
      <c r="Y188" s="76"/>
      <c r="Z188" s="76"/>
      <c r="AA188" s="80"/>
      <c r="AB188" s="79"/>
      <c r="AC188" s="76"/>
      <c r="AD188" s="76"/>
      <c r="AE188" s="76"/>
      <c r="AF188" s="76"/>
      <c r="AG188" s="80"/>
      <c r="AH188" s="79"/>
      <c r="AI188" s="76"/>
      <c r="AJ188" s="76"/>
      <c r="AK188" s="76"/>
      <c r="AL188" s="76"/>
      <c r="AM188" s="80"/>
      <c r="AN188" s="79"/>
      <c r="AO188" s="76"/>
      <c r="AP188" s="76">
        <v>3</v>
      </c>
      <c r="AQ188" s="76"/>
      <c r="AR188" s="76"/>
      <c r="AS188" s="80"/>
      <c r="AT188" s="79"/>
      <c r="AU188" s="76"/>
      <c r="AV188" s="76"/>
      <c r="AW188" s="76"/>
      <c r="AX188" s="76"/>
      <c r="AY188" s="80"/>
      <c r="AZ188" s="79"/>
      <c r="BA188" s="76"/>
      <c r="BB188" s="76"/>
      <c r="BC188" s="76"/>
      <c r="BD188" s="76"/>
      <c r="BE188" s="80"/>
      <c r="BF188" s="79"/>
      <c r="BG188" s="76"/>
      <c r="BH188" s="76"/>
      <c r="BI188" s="76"/>
      <c r="BJ188" s="76"/>
      <c r="BK188" s="80"/>
      <c r="BM188" s="125">
        <f t="shared" ref="BM188:BM194" si="550">SUM(V188:AA188)</f>
        <v>0</v>
      </c>
      <c r="BN188" s="126">
        <f t="shared" ref="BN188:BN194" si="551">SUM(AB188:AG188)</f>
        <v>0</v>
      </c>
      <c r="BO188" s="126">
        <f t="shared" ref="BO188:BO194" si="552">SUM(AH188:AM188)</f>
        <v>0</v>
      </c>
      <c r="BP188" s="126">
        <f t="shared" ref="BP188:BP194" si="553">SUM(AN188:AS188)</f>
        <v>3</v>
      </c>
      <c r="BQ188" s="126">
        <f>SUM(AT188:AY188)</f>
        <v>0</v>
      </c>
      <c r="BR188" s="126">
        <f t="shared" ref="BR188:BS194" si="554">SUM(AZ188:BE188)</f>
        <v>0</v>
      </c>
      <c r="BS188" s="127">
        <f t="shared" ref="BS188:BS194" si="555">SUM(BF188:BK188)</f>
        <v>0</v>
      </c>
      <c r="BT188" s="74"/>
      <c r="BU188" s="125">
        <f t="shared" ref="BU188:BU194" si="556">(BM188/$K188)*$O188</f>
        <v>0</v>
      </c>
      <c r="BV188" s="126">
        <f t="shared" ref="BV188:BV194" si="557">(BN188/$K188)*$O188</f>
        <v>0</v>
      </c>
      <c r="BW188" s="126">
        <f t="shared" ref="BW188:BW194" si="558">(BO188/$K188)*$O188</f>
        <v>0</v>
      </c>
      <c r="BX188" s="126">
        <f t="shared" ref="BX188:BX194" si="559">(BP188/$K188)*$O188</f>
        <v>1.92</v>
      </c>
      <c r="BY188" s="126">
        <f t="shared" ref="BY188:CA194" si="560">(BQ188/$K188)*$O188</f>
        <v>0</v>
      </c>
      <c r="BZ188" s="126">
        <f t="shared" si="560"/>
        <v>0</v>
      </c>
      <c r="CA188" s="126">
        <f t="shared" si="560"/>
        <v>0</v>
      </c>
    </row>
    <row r="189" spans="1:79">
      <c r="A189" s="147" t="str">
        <f t="shared" si="331"/>
        <v>D</v>
      </c>
      <c r="B189" s="148">
        <f t="shared" si="332"/>
        <v>70000</v>
      </c>
      <c r="C189" s="149" t="s">
        <v>163</v>
      </c>
      <c r="D189" s="150" t="s">
        <v>0</v>
      </c>
      <c r="E189" s="150" t="s">
        <v>0</v>
      </c>
      <c r="F189" s="145" t="s">
        <v>167</v>
      </c>
      <c r="G189" s="150" t="s">
        <v>165</v>
      </c>
      <c r="H189" s="150" t="s">
        <v>0</v>
      </c>
      <c r="I189" s="150" t="s">
        <v>0</v>
      </c>
      <c r="J189" s="151" t="s">
        <v>54</v>
      </c>
      <c r="K189" s="13">
        <v>6</v>
      </c>
      <c r="L189" s="12" t="s">
        <v>56</v>
      </c>
      <c r="M189" s="13">
        <v>3.12</v>
      </c>
      <c r="N189" s="13">
        <v>0</v>
      </c>
      <c r="O189" s="14">
        <v>3.12</v>
      </c>
      <c r="P189" s="113">
        <f t="shared" si="545"/>
        <v>6</v>
      </c>
      <c r="Q189" s="114">
        <f t="shared" si="546"/>
        <v>0</v>
      </c>
      <c r="R189" s="114">
        <f t="shared" si="547"/>
        <v>3.12</v>
      </c>
      <c r="S189" s="114">
        <f t="shared" si="548"/>
        <v>0</v>
      </c>
      <c r="T189" s="93">
        <f t="shared" si="549"/>
        <v>1</v>
      </c>
      <c r="U189" t="s">
        <v>0</v>
      </c>
      <c r="V189" s="79"/>
      <c r="W189" s="76"/>
      <c r="X189" s="76"/>
      <c r="Y189" s="76"/>
      <c r="Z189" s="76"/>
      <c r="AA189" s="80"/>
      <c r="AB189" s="79"/>
      <c r="AC189" s="76"/>
      <c r="AD189" s="76"/>
      <c r="AE189" s="76"/>
      <c r="AF189" s="76"/>
      <c r="AG189" s="80"/>
      <c r="AH189" s="79"/>
      <c r="AI189" s="76"/>
      <c r="AJ189" s="76"/>
      <c r="AK189" s="76"/>
      <c r="AL189" s="76"/>
      <c r="AM189" s="80"/>
      <c r="AN189" s="79"/>
      <c r="AO189" s="76"/>
      <c r="AP189" s="76">
        <v>6</v>
      </c>
      <c r="AQ189" s="76"/>
      <c r="AR189" s="76"/>
      <c r="AS189" s="80"/>
      <c r="AT189" s="79"/>
      <c r="AU189" s="76"/>
      <c r="AV189" s="76"/>
      <c r="AW189" s="76"/>
      <c r="AX189" s="76"/>
      <c r="AY189" s="80"/>
      <c r="AZ189" s="79"/>
      <c r="BA189" s="76"/>
      <c r="BB189" s="76"/>
      <c r="BC189" s="76"/>
      <c r="BD189" s="76"/>
      <c r="BE189" s="80"/>
      <c r="BF189" s="79"/>
      <c r="BG189" s="76"/>
      <c r="BH189" s="76"/>
      <c r="BI189" s="76"/>
      <c r="BJ189" s="76"/>
      <c r="BK189" s="80"/>
      <c r="BM189" s="125">
        <f t="shared" si="550"/>
        <v>0</v>
      </c>
      <c r="BN189" s="126">
        <f t="shared" si="551"/>
        <v>0</v>
      </c>
      <c r="BO189" s="126">
        <f t="shared" si="552"/>
        <v>0</v>
      </c>
      <c r="BP189" s="126">
        <f t="shared" si="553"/>
        <v>6</v>
      </c>
      <c r="BQ189" s="126">
        <f>SUM(AT189:AY189)</f>
        <v>0</v>
      </c>
      <c r="BR189" s="126">
        <f t="shared" si="554"/>
        <v>0</v>
      </c>
      <c r="BS189" s="127">
        <f t="shared" si="555"/>
        <v>0</v>
      </c>
      <c r="BT189" s="74"/>
      <c r="BU189" s="125">
        <f t="shared" si="556"/>
        <v>0</v>
      </c>
      <c r="BV189" s="126">
        <f t="shared" si="557"/>
        <v>0</v>
      </c>
      <c r="BW189" s="126">
        <f t="shared" si="558"/>
        <v>0</v>
      </c>
      <c r="BX189" s="126">
        <f t="shared" si="559"/>
        <v>3.12</v>
      </c>
      <c r="BY189" s="126">
        <f t="shared" si="560"/>
        <v>0</v>
      </c>
      <c r="BZ189" s="126">
        <f t="shared" si="560"/>
        <v>0</v>
      </c>
      <c r="CA189" s="126">
        <f t="shared" si="560"/>
        <v>0</v>
      </c>
    </row>
    <row r="190" spans="1:79">
      <c r="A190" s="147" t="str">
        <f t="shared" si="331"/>
        <v>D</v>
      </c>
      <c r="B190" s="148">
        <f t="shared" si="332"/>
        <v>70000</v>
      </c>
      <c r="C190" s="149" t="s">
        <v>163</v>
      </c>
      <c r="D190" s="150" t="s">
        <v>0</v>
      </c>
      <c r="E190" s="150" t="s">
        <v>0</v>
      </c>
      <c r="F190" s="145" t="s">
        <v>168</v>
      </c>
      <c r="G190" s="150" t="s">
        <v>165</v>
      </c>
      <c r="H190" s="150" t="s">
        <v>0</v>
      </c>
      <c r="I190" s="150" t="s">
        <v>0</v>
      </c>
      <c r="J190" s="151" t="s">
        <v>54</v>
      </c>
      <c r="K190" s="13">
        <v>1</v>
      </c>
      <c r="L190" s="12" t="s">
        <v>32</v>
      </c>
      <c r="M190" s="13">
        <v>5</v>
      </c>
      <c r="N190" s="13">
        <v>0</v>
      </c>
      <c r="O190" s="14">
        <v>5</v>
      </c>
      <c r="P190" s="113">
        <f t="shared" si="545"/>
        <v>1</v>
      </c>
      <c r="Q190" s="114">
        <f t="shared" si="546"/>
        <v>0</v>
      </c>
      <c r="R190" s="114">
        <f t="shared" si="547"/>
        <v>5</v>
      </c>
      <c r="S190" s="114">
        <f t="shared" si="548"/>
        <v>0</v>
      </c>
      <c r="T190" s="93">
        <f t="shared" si="549"/>
        <v>1</v>
      </c>
      <c r="U190" t="s">
        <v>0</v>
      </c>
      <c r="V190" s="79"/>
      <c r="W190" s="76"/>
      <c r="X190" s="76"/>
      <c r="Y190" s="76"/>
      <c r="Z190" s="76"/>
      <c r="AA190" s="80"/>
      <c r="AB190" s="79"/>
      <c r="AC190" s="76"/>
      <c r="AD190" s="76"/>
      <c r="AE190" s="76"/>
      <c r="AF190" s="76"/>
      <c r="AG190" s="80"/>
      <c r="AH190" s="79"/>
      <c r="AI190" s="76"/>
      <c r="AJ190" s="76"/>
      <c r="AK190" s="76"/>
      <c r="AL190" s="76"/>
      <c r="AM190" s="80"/>
      <c r="AN190" s="79"/>
      <c r="AO190" s="76"/>
      <c r="AP190" s="76">
        <v>1</v>
      </c>
      <c r="AQ190" s="76"/>
      <c r="AR190" s="76"/>
      <c r="AS190" s="80"/>
      <c r="AT190" s="79"/>
      <c r="AU190" s="76"/>
      <c r="AV190" s="76"/>
      <c r="AW190" s="76"/>
      <c r="AX190" s="76"/>
      <c r="AY190" s="80"/>
      <c r="AZ190" s="79"/>
      <c r="BA190" s="76"/>
      <c r="BB190" s="76"/>
      <c r="BC190" s="76"/>
      <c r="BD190" s="76"/>
      <c r="BE190" s="80"/>
      <c r="BF190" s="79"/>
      <c r="BG190" s="76"/>
      <c r="BH190" s="76"/>
      <c r="BI190" s="76"/>
      <c r="BJ190" s="76"/>
      <c r="BK190" s="80"/>
      <c r="BM190" s="125">
        <f t="shared" si="550"/>
        <v>0</v>
      </c>
      <c r="BN190" s="126">
        <f t="shared" si="551"/>
        <v>0</v>
      </c>
      <c r="BO190" s="126">
        <f t="shared" si="552"/>
        <v>0</v>
      </c>
      <c r="BP190" s="126">
        <f t="shared" si="553"/>
        <v>1</v>
      </c>
      <c r="BQ190" s="126">
        <f>SUM(AT190:AY190)</f>
        <v>0</v>
      </c>
      <c r="BR190" s="126">
        <f t="shared" si="554"/>
        <v>0</v>
      </c>
      <c r="BS190" s="127">
        <f t="shared" si="555"/>
        <v>0</v>
      </c>
      <c r="BT190" s="74"/>
      <c r="BU190" s="125">
        <f t="shared" si="556"/>
        <v>0</v>
      </c>
      <c r="BV190" s="126">
        <f t="shared" si="557"/>
        <v>0</v>
      </c>
      <c r="BW190" s="126">
        <f t="shared" si="558"/>
        <v>0</v>
      </c>
      <c r="BX190" s="126">
        <f t="shared" si="559"/>
        <v>5</v>
      </c>
      <c r="BY190" s="126">
        <f t="shared" si="560"/>
        <v>0</v>
      </c>
      <c r="BZ190" s="126">
        <f t="shared" si="560"/>
        <v>0</v>
      </c>
      <c r="CA190" s="126">
        <f t="shared" si="560"/>
        <v>0</v>
      </c>
    </row>
    <row r="191" spans="1:79">
      <c r="A191" s="147" t="str">
        <f t="shared" si="331"/>
        <v>D</v>
      </c>
      <c r="B191" s="148">
        <f t="shared" si="332"/>
        <v>70000</v>
      </c>
      <c r="C191" s="149" t="s">
        <v>163</v>
      </c>
      <c r="D191" s="150" t="s">
        <v>0</v>
      </c>
      <c r="E191" s="150" t="s">
        <v>0</v>
      </c>
      <c r="F191" s="145" t="s">
        <v>169</v>
      </c>
      <c r="G191" s="150" t="s">
        <v>165</v>
      </c>
      <c r="H191" s="150" t="s">
        <v>0</v>
      </c>
      <c r="I191" s="150" t="s">
        <v>0</v>
      </c>
      <c r="J191" s="151" t="s">
        <v>54</v>
      </c>
      <c r="K191" s="13">
        <v>1</v>
      </c>
      <c r="L191" s="12" t="s">
        <v>32</v>
      </c>
      <c r="M191" s="13">
        <v>3.75</v>
      </c>
      <c r="N191" s="13">
        <v>0</v>
      </c>
      <c r="O191" s="14">
        <v>3.75</v>
      </c>
      <c r="P191" s="113">
        <f t="shared" si="545"/>
        <v>1</v>
      </c>
      <c r="Q191" s="114">
        <f t="shared" si="546"/>
        <v>0</v>
      </c>
      <c r="R191" s="114">
        <f t="shared" si="547"/>
        <v>3.75</v>
      </c>
      <c r="S191" s="114">
        <f t="shared" si="548"/>
        <v>0</v>
      </c>
      <c r="T191" s="93">
        <f t="shared" si="549"/>
        <v>1</v>
      </c>
      <c r="U191" t="s">
        <v>0</v>
      </c>
      <c r="V191" s="79"/>
      <c r="W191" s="76"/>
      <c r="X191" s="76"/>
      <c r="Y191" s="76"/>
      <c r="Z191" s="76"/>
      <c r="AA191" s="80"/>
      <c r="AB191" s="79"/>
      <c r="AC191" s="76"/>
      <c r="AD191" s="76"/>
      <c r="AE191" s="76"/>
      <c r="AF191" s="76"/>
      <c r="AG191" s="80"/>
      <c r="AH191" s="79"/>
      <c r="AI191" s="76"/>
      <c r="AJ191" s="76"/>
      <c r="AK191" s="76"/>
      <c r="AL191" s="76"/>
      <c r="AM191" s="80"/>
      <c r="AN191" s="79"/>
      <c r="AO191" s="76"/>
      <c r="AP191" s="76">
        <v>1</v>
      </c>
      <c r="AQ191" s="76"/>
      <c r="AR191" s="76"/>
      <c r="AS191" s="80"/>
      <c r="AT191" s="79"/>
      <c r="AU191" s="76"/>
      <c r="AV191" s="76"/>
      <c r="AW191" s="76"/>
      <c r="AX191" s="76"/>
      <c r="AY191" s="80"/>
      <c r="AZ191" s="79"/>
      <c r="BA191" s="76"/>
      <c r="BB191" s="76"/>
      <c r="BC191" s="76"/>
      <c r="BD191" s="76"/>
      <c r="BE191" s="80"/>
      <c r="BF191" s="79"/>
      <c r="BG191" s="76"/>
      <c r="BH191" s="76"/>
      <c r="BI191" s="76"/>
      <c r="BJ191" s="76"/>
      <c r="BK191" s="80"/>
      <c r="BM191" s="125">
        <f t="shared" si="550"/>
        <v>0</v>
      </c>
      <c r="BN191" s="126">
        <f t="shared" si="551"/>
        <v>0</v>
      </c>
      <c r="BO191" s="126">
        <f t="shared" si="552"/>
        <v>0</v>
      </c>
      <c r="BP191" s="126">
        <f t="shared" si="553"/>
        <v>1</v>
      </c>
      <c r="BQ191" s="126">
        <f>SUM(AT191:AY191)</f>
        <v>0</v>
      </c>
      <c r="BR191" s="126">
        <f t="shared" si="554"/>
        <v>0</v>
      </c>
      <c r="BS191" s="127">
        <f t="shared" si="555"/>
        <v>0</v>
      </c>
      <c r="BT191" s="74"/>
      <c r="BU191" s="125">
        <f t="shared" si="556"/>
        <v>0</v>
      </c>
      <c r="BV191" s="126">
        <f t="shared" si="557"/>
        <v>0</v>
      </c>
      <c r="BW191" s="126">
        <f t="shared" si="558"/>
        <v>0</v>
      </c>
      <c r="BX191" s="126">
        <f t="shared" si="559"/>
        <v>3.75</v>
      </c>
      <c r="BY191" s="126">
        <f t="shared" si="560"/>
        <v>0</v>
      </c>
      <c r="BZ191" s="126">
        <f t="shared" si="560"/>
        <v>0</v>
      </c>
      <c r="CA191" s="126">
        <f t="shared" si="560"/>
        <v>0</v>
      </c>
    </row>
    <row r="192" spans="1:79">
      <c r="A192" s="147" t="str">
        <f t="shared" si="331"/>
        <v>D</v>
      </c>
      <c r="B192" s="148">
        <f t="shared" si="332"/>
        <v>70000</v>
      </c>
      <c r="C192" s="149" t="s">
        <v>163</v>
      </c>
      <c r="D192" s="150" t="s">
        <v>0</v>
      </c>
      <c r="E192" s="150" t="s">
        <v>0</v>
      </c>
      <c r="F192" s="145" t="s">
        <v>170</v>
      </c>
      <c r="G192" s="150" t="s">
        <v>165</v>
      </c>
      <c r="H192" s="150" t="s">
        <v>0</v>
      </c>
      <c r="I192" s="150" t="s">
        <v>0</v>
      </c>
      <c r="J192" s="151" t="s">
        <v>54</v>
      </c>
      <c r="K192" s="13">
        <v>1</v>
      </c>
      <c r="L192" s="12" t="s">
        <v>32</v>
      </c>
      <c r="M192" s="13">
        <v>3.5</v>
      </c>
      <c r="N192" s="13">
        <v>0</v>
      </c>
      <c r="O192" s="14">
        <v>3.5</v>
      </c>
      <c r="P192" s="113">
        <f t="shared" si="545"/>
        <v>1</v>
      </c>
      <c r="Q192" s="114">
        <f t="shared" si="546"/>
        <v>0</v>
      </c>
      <c r="R192" s="114">
        <f t="shared" si="547"/>
        <v>3.5</v>
      </c>
      <c r="S192" s="114">
        <f t="shared" si="548"/>
        <v>0</v>
      </c>
      <c r="T192" s="93">
        <f t="shared" si="549"/>
        <v>1</v>
      </c>
      <c r="U192" t="s">
        <v>0</v>
      </c>
      <c r="V192" s="79"/>
      <c r="W192" s="76"/>
      <c r="X192" s="76"/>
      <c r="Y192" s="76"/>
      <c r="Z192" s="76"/>
      <c r="AA192" s="80"/>
      <c r="AB192" s="79"/>
      <c r="AC192" s="76"/>
      <c r="AD192" s="76"/>
      <c r="AE192" s="76"/>
      <c r="AF192" s="76"/>
      <c r="AG192" s="80"/>
      <c r="AH192" s="79"/>
      <c r="AI192" s="76"/>
      <c r="AJ192" s="76"/>
      <c r="AK192" s="76"/>
      <c r="AL192" s="76"/>
      <c r="AM192" s="80"/>
      <c r="AN192" s="79"/>
      <c r="AO192" s="76"/>
      <c r="AP192" s="76">
        <v>1</v>
      </c>
      <c r="AQ192" s="76"/>
      <c r="AR192" s="76"/>
      <c r="AS192" s="80"/>
      <c r="AT192" s="79"/>
      <c r="AU192" s="76"/>
      <c r="AV192" s="76"/>
      <c r="AW192" s="76"/>
      <c r="AX192" s="76"/>
      <c r="AY192" s="80"/>
      <c r="AZ192" s="79"/>
      <c r="BA192" s="76"/>
      <c r="BB192" s="76"/>
      <c r="BC192" s="76"/>
      <c r="BD192" s="76"/>
      <c r="BE192" s="80"/>
      <c r="BF192" s="79"/>
      <c r="BG192" s="76"/>
      <c r="BH192" s="76"/>
      <c r="BI192" s="76"/>
      <c r="BJ192" s="76"/>
      <c r="BK192" s="80"/>
      <c r="BM192" s="125">
        <f t="shared" si="550"/>
        <v>0</v>
      </c>
      <c r="BN192" s="126">
        <f t="shared" si="551"/>
        <v>0</v>
      </c>
      <c r="BO192" s="126">
        <f t="shared" si="552"/>
        <v>0</v>
      </c>
      <c r="BP192" s="126">
        <f t="shared" si="553"/>
        <v>1</v>
      </c>
      <c r="BQ192" s="126">
        <f>SUM(AT192:AY192)</f>
        <v>0</v>
      </c>
      <c r="BR192" s="126">
        <f t="shared" si="554"/>
        <v>0</v>
      </c>
      <c r="BS192" s="127">
        <f t="shared" si="555"/>
        <v>0</v>
      </c>
      <c r="BT192" s="74"/>
      <c r="BU192" s="125">
        <f t="shared" si="556"/>
        <v>0</v>
      </c>
      <c r="BV192" s="126">
        <f t="shared" si="557"/>
        <v>0</v>
      </c>
      <c r="BW192" s="126">
        <f t="shared" si="558"/>
        <v>0</v>
      </c>
      <c r="BX192" s="126">
        <f t="shared" si="559"/>
        <v>3.5</v>
      </c>
      <c r="BY192" s="126">
        <f t="shared" si="560"/>
        <v>0</v>
      </c>
      <c r="BZ192" s="126">
        <f t="shared" si="560"/>
        <v>0</v>
      </c>
      <c r="CA192" s="126">
        <f t="shared" si="560"/>
        <v>0</v>
      </c>
    </row>
    <row r="193" spans="1:79">
      <c r="A193" s="147" t="str">
        <f t="shared" si="331"/>
        <v>D</v>
      </c>
      <c r="B193" s="148">
        <f t="shared" si="332"/>
        <v>70000</v>
      </c>
      <c r="C193" s="149" t="s">
        <v>163</v>
      </c>
      <c r="D193" s="150" t="s">
        <v>0</v>
      </c>
      <c r="E193" s="150" t="s">
        <v>0</v>
      </c>
      <c r="F193" s="145" t="s">
        <v>171</v>
      </c>
      <c r="G193" s="150" t="s">
        <v>165</v>
      </c>
      <c r="H193" s="150" t="s">
        <v>0</v>
      </c>
      <c r="I193" s="150" t="s">
        <v>0</v>
      </c>
      <c r="J193" s="151" t="s">
        <v>54</v>
      </c>
      <c r="K193" s="13">
        <v>1</v>
      </c>
      <c r="L193" s="12" t="s">
        <v>32</v>
      </c>
      <c r="M193" s="13">
        <v>0.2</v>
      </c>
      <c r="N193" s="13">
        <v>0</v>
      </c>
      <c r="O193" s="14">
        <v>0.2</v>
      </c>
      <c r="P193" s="113">
        <f t="shared" si="545"/>
        <v>1</v>
      </c>
      <c r="Q193" s="114">
        <f t="shared" si="546"/>
        <v>0</v>
      </c>
      <c r="R193" s="114">
        <f t="shared" si="547"/>
        <v>0.2</v>
      </c>
      <c r="S193" s="114">
        <f t="shared" si="548"/>
        <v>0</v>
      </c>
      <c r="T193" s="93">
        <f t="shared" si="549"/>
        <v>1</v>
      </c>
      <c r="U193" t="s">
        <v>0</v>
      </c>
      <c r="V193" s="79"/>
      <c r="W193" s="76"/>
      <c r="X193" s="76"/>
      <c r="Y193" s="76"/>
      <c r="Z193" s="76"/>
      <c r="AA193" s="80"/>
      <c r="AB193" s="79"/>
      <c r="AC193" s="76"/>
      <c r="AD193" s="76"/>
      <c r="AE193" s="76"/>
      <c r="AF193" s="76"/>
      <c r="AG193" s="80"/>
      <c r="AH193" s="79"/>
      <c r="AI193" s="76"/>
      <c r="AJ193" s="76"/>
      <c r="AK193" s="76"/>
      <c r="AL193" s="76"/>
      <c r="AM193" s="80"/>
      <c r="AN193" s="79"/>
      <c r="AO193" s="76"/>
      <c r="AP193" s="76">
        <v>1</v>
      </c>
      <c r="AQ193" s="76"/>
      <c r="AR193" s="76"/>
      <c r="AS193" s="80"/>
      <c r="AT193" s="79"/>
      <c r="AU193" s="76"/>
      <c r="AV193" s="76"/>
      <c r="AW193" s="76"/>
      <c r="AX193" s="76"/>
      <c r="AY193" s="80"/>
      <c r="AZ193" s="79"/>
      <c r="BA193" s="76"/>
      <c r="BB193" s="76"/>
      <c r="BC193" s="76"/>
      <c r="BD193" s="76"/>
      <c r="BE193" s="80"/>
      <c r="BF193" s="79"/>
      <c r="BG193" s="76"/>
      <c r="BH193" s="76"/>
      <c r="BI193" s="76"/>
      <c r="BJ193" s="76"/>
      <c r="BK193" s="80"/>
      <c r="BM193" s="125">
        <f t="shared" si="550"/>
        <v>0</v>
      </c>
      <c r="BN193" s="126">
        <f t="shared" si="551"/>
        <v>0</v>
      </c>
      <c r="BO193" s="126">
        <f t="shared" si="552"/>
        <v>0</v>
      </c>
      <c r="BP193" s="126">
        <f t="shared" si="553"/>
        <v>1</v>
      </c>
      <c r="BQ193" s="126">
        <f>SUM(AT193:AY193)</f>
        <v>0</v>
      </c>
      <c r="BR193" s="126">
        <f t="shared" si="554"/>
        <v>0</v>
      </c>
      <c r="BS193" s="127">
        <f t="shared" si="555"/>
        <v>0</v>
      </c>
      <c r="BT193" s="74"/>
      <c r="BU193" s="125">
        <f t="shared" si="556"/>
        <v>0</v>
      </c>
      <c r="BV193" s="126">
        <f t="shared" si="557"/>
        <v>0</v>
      </c>
      <c r="BW193" s="126">
        <f t="shared" si="558"/>
        <v>0</v>
      </c>
      <c r="BX193" s="126">
        <f t="shared" si="559"/>
        <v>0.2</v>
      </c>
      <c r="BY193" s="126">
        <f t="shared" si="560"/>
        <v>0</v>
      </c>
      <c r="BZ193" s="126">
        <f t="shared" si="560"/>
        <v>0</v>
      </c>
      <c r="CA193" s="126">
        <f t="shared" si="560"/>
        <v>0</v>
      </c>
    </row>
    <row r="194" spans="1:79">
      <c r="A194" s="147" t="str">
        <f t="shared" si="331"/>
        <v>D</v>
      </c>
      <c r="B194" s="148">
        <f t="shared" si="332"/>
        <v>70000</v>
      </c>
      <c r="C194" s="149" t="s">
        <v>163</v>
      </c>
      <c r="D194" s="150" t="s">
        <v>0</v>
      </c>
      <c r="E194" s="150" t="s">
        <v>0</v>
      </c>
      <c r="F194" s="145" t="s">
        <v>172</v>
      </c>
      <c r="G194" s="150" t="s">
        <v>165</v>
      </c>
      <c r="H194" s="150" t="s">
        <v>0</v>
      </c>
      <c r="I194" s="150" t="s">
        <v>0</v>
      </c>
      <c r="J194" s="151" t="s">
        <v>54</v>
      </c>
      <c r="K194" s="13">
        <v>2</v>
      </c>
      <c r="L194" s="12" t="s">
        <v>32</v>
      </c>
      <c r="M194" s="13">
        <v>8</v>
      </c>
      <c r="N194" s="13">
        <v>0</v>
      </c>
      <c r="O194" s="14">
        <v>8</v>
      </c>
      <c r="P194" s="113">
        <f t="shared" si="545"/>
        <v>2</v>
      </c>
      <c r="Q194" s="114">
        <f t="shared" si="546"/>
        <v>0</v>
      </c>
      <c r="R194" s="114">
        <f t="shared" si="547"/>
        <v>8</v>
      </c>
      <c r="S194" s="114">
        <f t="shared" si="548"/>
        <v>0</v>
      </c>
      <c r="T194" s="93">
        <f t="shared" si="549"/>
        <v>1</v>
      </c>
      <c r="U194" t="s">
        <v>0</v>
      </c>
      <c r="V194" s="79"/>
      <c r="W194" s="76"/>
      <c r="X194" s="76"/>
      <c r="Y194" s="76"/>
      <c r="Z194" s="76"/>
      <c r="AA194" s="80"/>
      <c r="AB194" s="79"/>
      <c r="AC194" s="76"/>
      <c r="AD194" s="76"/>
      <c r="AE194" s="76"/>
      <c r="AF194" s="76"/>
      <c r="AG194" s="80"/>
      <c r="AH194" s="79"/>
      <c r="AI194" s="76"/>
      <c r="AJ194" s="76"/>
      <c r="AK194" s="76"/>
      <c r="AL194" s="76"/>
      <c r="AM194" s="80"/>
      <c r="AN194" s="79"/>
      <c r="AO194" s="76"/>
      <c r="AP194" s="76">
        <v>2</v>
      </c>
      <c r="AQ194" s="76"/>
      <c r="AR194" s="76"/>
      <c r="AS194" s="80"/>
      <c r="AT194" s="79"/>
      <c r="AU194" s="76"/>
      <c r="AV194" s="76"/>
      <c r="AW194" s="76"/>
      <c r="AX194" s="76"/>
      <c r="AY194" s="80"/>
      <c r="AZ194" s="79"/>
      <c r="BA194" s="76"/>
      <c r="BB194" s="76"/>
      <c r="BC194" s="76"/>
      <c r="BD194" s="76"/>
      <c r="BE194" s="80"/>
      <c r="BF194" s="79"/>
      <c r="BG194" s="76"/>
      <c r="BH194" s="76"/>
      <c r="BI194" s="76"/>
      <c r="BJ194" s="76"/>
      <c r="BK194" s="80"/>
      <c r="BM194" s="125">
        <f t="shared" si="550"/>
        <v>0</v>
      </c>
      <c r="BN194" s="126">
        <f t="shared" si="551"/>
        <v>0</v>
      </c>
      <c r="BO194" s="126">
        <f t="shared" si="552"/>
        <v>0</v>
      </c>
      <c r="BP194" s="126">
        <f t="shared" si="553"/>
        <v>2</v>
      </c>
      <c r="BQ194" s="126">
        <f>SUM(AT194:AY194)</f>
        <v>0</v>
      </c>
      <c r="BR194" s="126">
        <f t="shared" si="554"/>
        <v>0</v>
      </c>
      <c r="BS194" s="127">
        <f t="shared" si="555"/>
        <v>0</v>
      </c>
      <c r="BT194" s="74"/>
      <c r="BU194" s="125">
        <f t="shared" si="556"/>
        <v>0</v>
      </c>
      <c r="BV194" s="126">
        <f t="shared" si="557"/>
        <v>0</v>
      </c>
      <c r="BW194" s="126">
        <f t="shared" si="558"/>
        <v>0</v>
      </c>
      <c r="BX194" s="126">
        <f t="shared" si="559"/>
        <v>8</v>
      </c>
      <c r="BY194" s="126">
        <f t="shared" si="560"/>
        <v>0</v>
      </c>
      <c r="BZ194" s="126">
        <f t="shared" si="560"/>
        <v>0</v>
      </c>
      <c r="CA194" s="126">
        <f t="shared" si="560"/>
        <v>0</v>
      </c>
    </row>
    <row r="195" spans="1:79" ht="15.75">
      <c r="A195" s="152" t="str">
        <f t="shared" si="331"/>
        <v>P</v>
      </c>
      <c r="B195" s="153">
        <f t="shared" si="332"/>
        <v>70000</v>
      </c>
      <c r="C195" s="154" t="s">
        <v>173</v>
      </c>
      <c r="D195" s="155" t="s">
        <v>0</v>
      </c>
      <c r="E195" s="155" t="s">
        <v>0</v>
      </c>
      <c r="F195" s="156" t="s">
        <v>174</v>
      </c>
      <c r="G195" s="155" t="s">
        <v>165</v>
      </c>
      <c r="H195" s="155" t="s">
        <v>0</v>
      </c>
      <c r="I195" s="155" t="s">
        <v>0</v>
      </c>
      <c r="J195" s="157" t="s">
        <v>0</v>
      </c>
      <c r="K195" s="9">
        <v>16</v>
      </c>
      <c r="L195" s="8" t="s">
        <v>56</v>
      </c>
      <c r="M195" s="9">
        <v>15.33</v>
      </c>
      <c r="N195" s="9">
        <v>2.65</v>
      </c>
      <c r="O195" s="10">
        <v>17.98</v>
      </c>
      <c r="P195" s="111"/>
      <c r="Q195" s="112"/>
      <c r="R195" s="112">
        <f>SUMIFS(R196:R$415,$C196:$C$415,$C195)</f>
        <v>17.98</v>
      </c>
      <c r="S195" s="112">
        <f>SUMIFS(S196:S$415,$C196:$C$415,$C195)</f>
        <v>0</v>
      </c>
      <c r="T195" s="92">
        <f>R195/O195</f>
        <v>1</v>
      </c>
      <c r="V195" s="77"/>
      <c r="W195" s="75"/>
      <c r="X195" s="75"/>
      <c r="Y195" s="75"/>
      <c r="Z195" s="75"/>
      <c r="AA195" s="78"/>
      <c r="AB195" s="77"/>
      <c r="AC195" s="75"/>
      <c r="AD195" s="75"/>
      <c r="AE195" s="75"/>
      <c r="AF195" s="75"/>
      <c r="AG195" s="78"/>
      <c r="AH195" s="77"/>
      <c r="AI195" s="75"/>
      <c r="AJ195" s="75"/>
      <c r="AK195" s="75"/>
      <c r="AL195" s="75"/>
      <c r="AM195" s="78"/>
      <c r="AN195" s="77"/>
      <c r="AO195" s="75"/>
      <c r="AP195" s="75"/>
      <c r="AQ195" s="75"/>
      <c r="AR195" s="75"/>
      <c r="AS195" s="78"/>
      <c r="AT195" s="77"/>
      <c r="AU195" s="75"/>
      <c r="AV195" s="75"/>
      <c r="AW195" s="75"/>
      <c r="AX195" s="75"/>
      <c r="AY195" s="78"/>
      <c r="AZ195" s="77"/>
      <c r="BA195" s="75"/>
      <c r="BB195" s="75"/>
      <c r="BC195" s="75"/>
      <c r="BD195" s="75"/>
      <c r="BE195" s="78"/>
      <c r="BF195" s="77"/>
      <c r="BG195" s="75"/>
      <c r="BH195" s="75"/>
      <c r="BI195" s="75"/>
      <c r="BJ195" s="75"/>
      <c r="BK195" s="78"/>
      <c r="BM195" s="122"/>
      <c r="BN195" s="123"/>
      <c r="BO195" s="123"/>
      <c r="BP195" s="123"/>
      <c r="BQ195" s="123"/>
      <c r="BR195" s="123"/>
      <c r="BS195" s="124"/>
      <c r="BT195" s="74"/>
      <c r="BU195" s="122"/>
      <c r="BV195" s="123"/>
      <c r="BW195" s="123"/>
      <c r="BX195" s="123"/>
      <c r="BY195" s="123"/>
      <c r="BZ195" s="123"/>
      <c r="CA195" s="123"/>
    </row>
    <row r="196" spans="1:79">
      <c r="A196" s="147" t="str">
        <f t="shared" si="331"/>
        <v>D</v>
      </c>
      <c r="B196" s="148">
        <f t="shared" si="332"/>
        <v>70000</v>
      </c>
      <c r="C196" s="149" t="s">
        <v>173</v>
      </c>
      <c r="D196" s="150" t="s">
        <v>0</v>
      </c>
      <c r="E196" s="150" t="s">
        <v>0</v>
      </c>
      <c r="F196" s="145" t="s">
        <v>175</v>
      </c>
      <c r="G196" s="150" t="s">
        <v>165</v>
      </c>
      <c r="H196" s="150" t="s">
        <v>0</v>
      </c>
      <c r="I196" s="150" t="s">
        <v>0</v>
      </c>
      <c r="J196" s="151" t="s">
        <v>0</v>
      </c>
      <c r="K196" s="13">
        <v>1</v>
      </c>
      <c r="L196" s="12" t="s">
        <v>56</v>
      </c>
      <c r="M196" s="13">
        <v>0.28000000000000003</v>
      </c>
      <c r="N196" s="13">
        <v>0</v>
      </c>
      <c r="O196" s="14">
        <v>0.28000000000000003</v>
      </c>
      <c r="P196" s="113">
        <f t="shared" ref="P196:P202" si="561">SUM(BM196:BS196)</f>
        <v>1</v>
      </c>
      <c r="Q196" s="114">
        <f t="shared" ref="Q196:Q202" si="562">K196-P196</f>
        <v>0</v>
      </c>
      <c r="R196" s="114">
        <f t="shared" ref="R196:R202" si="563">SUM(BU196:CA196)</f>
        <v>0.28000000000000003</v>
      </c>
      <c r="S196" s="114">
        <f t="shared" ref="S196:S202" si="564">O196-R196</f>
        <v>0</v>
      </c>
      <c r="T196" s="93">
        <f t="shared" ref="T196:T202" si="565">R196/O196</f>
        <v>1</v>
      </c>
      <c r="U196" t="s">
        <v>0</v>
      </c>
      <c r="V196" s="79"/>
      <c r="W196" s="76"/>
      <c r="X196" s="76"/>
      <c r="Y196" s="76"/>
      <c r="Z196" s="76"/>
      <c r="AA196" s="80"/>
      <c r="AB196" s="79"/>
      <c r="AC196" s="76"/>
      <c r="AD196" s="76"/>
      <c r="AE196" s="76"/>
      <c r="AF196" s="76"/>
      <c r="AG196" s="80"/>
      <c r="AH196" s="79"/>
      <c r="AI196" s="76"/>
      <c r="AJ196" s="76"/>
      <c r="AK196" s="76"/>
      <c r="AL196" s="76"/>
      <c r="AM196" s="80"/>
      <c r="AN196" s="79">
        <v>1</v>
      </c>
      <c r="AO196" s="76"/>
      <c r="AP196" s="76"/>
      <c r="AQ196" s="76"/>
      <c r="AR196" s="76"/>
      <c r="AS196" s="80"/>
      <c r="AT196" s="79"/>
      <c r="AU196" s="76"/>
      <c r="AV196" s="76"/>
      <c r="AW196" s="76"/>
      <c r="AX196" s="76"/>
      <c r="AY196" s="80"/>
      <c r="AZ196" s="79"/>
      <c r="BA196" s="76"/>
      <c r="BB196" s="76"/>
      <c r="BC196" s="76"/>
      <c r="BD196" s="76"/>
      <c r="BE196" s="80"/>
      <c r="BF196" s="79"/>
      <c r="BG196" s="76"/>
      <c r="BH196" s="76"/>
      <c r="BI196" s="76"/>
      <c r="BJ196" s="76"/>
      <c r="BK196" s="80"/>
      <c r="BM196" s="125">
        <f t="shared" ref="BM196:BM202" si="566">SUM(V196:AA196)</f>
        <v>0</v>
      </c>
      <c r="BN196" s="126">
        <f t="shared" ref="BN196:BN202" si="567">SUM(AB196:AG196)</f>
        <v>0</v>
      </c>
      <c r="BO196" s="126">
        <f t="shared" ref="BO196:BO202" si="568">SUM(AH196:AM196)</f>
        <v>0</v>
      </c>
      <c r="BP196" s="126">
        <f t="shared" ref="BP196:BP202" si="569">SUM(AN196:AS196)</f>
        <v>1</v>
      </c>
      <c r="BQ196" s="126">
        <f>SUM(AT196:AY196)</f>
        <v>0</v>
      </c>
      <c r="BR196" s="126">
        <f t="shared" ref="BR196:BS202" si="570">SUM(AZ196:BE196)</f>
        <v>0</v>
      </c>
      <c r="BS196" s="127">
        <f t="shared" ref="BS196:BS202" si="571">SUM(BF196:BK196)</f>
        <v>0</v>
      </c>
      <c r="BT196" s="74"/>
      <c r="BU196" s="125">
        <f t="shared" ref="BU196:BU202" si="572">(BM196/$K196)*$O196</f>
        <v>0</v>
      </c>
      <c r="BV196" s="126">
        <f t="shared" ref="BV196:BV202" si="573">(BN196/$K196)*$O196</f>
        <v>0</v>
      </c>
      <c r="BW196" s="126">
        <f t="shared" ref="BW196:BW202" si="574">(BO196/$K196)*$O196</f>
        <v>0</v>
      </c>
      <c r="BX196" s="126">
        <f t="shared" ref="BX196:BX202" si="575">(BP196/$K196)*$O196</f>
        <v>0.28000000000000003</v>
      </c>
      <c r="BY196" s="126">
        <f t="shared" ref="BY196:CA202" si="576">(BQ196/$K196)*$O196</f>
        <v>0</v>
      </c>
      <c r="BZ196" s="126">
        <f t="shared" si="576"/>
        <v>0</v>
      </c>
      <c r="CA196" s="126">
        <f t="shared" si="576"/>
        <v>0</v>
      </c>
    </row>
    <row r="197" spans="1:79">
      <c r="A197" s="147" t="str">
        <f t="shared" si="331"/>
        <v>D</v>
      </c>
      <c r="B197" s="148">
        <f t="shared" si="332"/>
        <v>70000</v>
      </c>
      <c r="C197" s="149" t="s">
        <v>173</v>
      </c>
      <c r="D197" s="150" t="s">
        <v>0</v>
      </c>
      <c r="E197" s="150" t="s">
        <v>0</v>
      </c>
      <c r="F197" s="145" t="s">
        <v>176</v>
      </c>
      <c r="G197" s="150" t="s">
        <v>165</v>
      </c>
      <c r="H197" s="150" t="s">
        <v>0</v>
      </c>
      <c r="I197" s="150" t="s">
        <v>0</v>
      </c>
      <c r="J197" s="151" t="s">
        <v>0</v>
      </c>
      <c r="K197" s="13">
        <v>15</v>
      </c>
      <c r="L197" s="12" t="s">
        <v>56</v>
      </c>
      <c r="M197" s="13">
        <v>3.75</v>
      </c>
      <c r="N197" s="13">
        <v>0</v>
      </c>
      <c r="O197" s="14">
        <v>3.75</v>
      </c>
      <c r="P197" s="113">
        <f t="shared" si="561"/>
        <v>15</v>
      </c>
      <c r="Q197" s="114">
        <f t="shared" si="562"/>
        <v>0</v>
      </c>
      <c r="R197" s="114">
        <f t="shared" si="563"/>
        <v>3.75</v>
      </c>
      <c r="S197" s="114">
        <f t="shared" si="564"/>
        <v>0</v>
      </c>
      <c r="T197" s="93">
        <f t="shared" si="565"/>
        <v>1</v>
      </c>
      <c r="U197" t="s">
        <v>0</v>
      </c>
      <c r="V197" s="79"/>
      <c r="W197" s="76"/>
      <c r="X197" s="76"/>
      <c r="Y197" s="76"/>
      <c r="Z197" s="76"/>
      <c r="AA197" s="80"/>
      <c r="AB197" s="79"/>
      <c r="AC197" s="76"/>
      <c r="AD197" s="76"/>
      <c r="AE197" s="76"/>
      <c r="AF197" s="76"/>
      <c r="AG197" s="80"/>
      <c r="AH197" s="79"/>
      <c r="AI197" s="76"/>
      <c r="AJ197" s="76"/>
      <c r="AK197" s="76"/>
      <c r="AL197" s="76"/>
      <c r="AM197" s="80">
        <v>10</v>
      </c>
      <c r="AN197" s="79">
        <v>2.5</v>
      </c>
      <c r="AO197" s="76"/>
      <c r="AP197" s="76"/>
      <c r="AQ197" s="76"/>
      <c r="AR197" s="76"/>
      <c r="AS197" s="80">
        <v>2.5</v>
      </c>
      <c r="AT197" s="79"/>
      <c r="AU197" s="76"/>
      <c r="AV197" s="76"/>
      <c r="AW197" s="76"/>
      <c r="AX197" s="76"/>
      <c r="AY197" s="80"/>
      <c r="AZ197" s="79"/>
      <c r="BA197" s="76"/>
      <c r="BB197" s="76"/>
      <c r="BC197" s="76"/>
      <c r="BD197" s="76"/>
      <c r="BE197" s="80"/>
      <c r="BF197" s="79"/>
      <c r="BG197" s="76"/>
      <c r="BH197" s="76"/>
      <c r="BI197" s="76"/>
      <c r="BJ197" s="76"/>
      <c r="BK197" s="80"/>
      <c r="BM197" s="125">
        <f t="shared" si="566"/>
        <v>0</v>
      </c>
      <c r="BN197" s="126">
        <f t="shared" si="567"/>
        <v>0</v>
      </c>
      <c r="BO197" s="126">
        <f t="shared" si="568"/>
        <v>10</v>
      </c>
      <c r="BP197" s="126">
        <f t="shared" si="569"/>
        <v>5</v>
      </c>
      <c r="BQ197" s="126">
        <f>SUM(AT197:AY197)</f>
        <v>0</v>
      </c>
      <c r="BR197" s="126">
        <f t="shared" si="570"/>
        <v>0</v>
      </c>
      <c r="BS197" s="127">
        <f t="shared" si="571"/>
        <v>0</v>
      </c>
      <c r="BT197" s="74"/>
      <c r="BU197" s="125">
        <f t="shared" si="572"/>
        <v>0</v>
      </c>
      <c r="BV197" s="126">
        <f t="shared" si="573"/>
        <v>0</v>
      </c>
      <c r="BW197" s="126">
        <f t="shared" si="574"/>
        <v>2.5</v>
      </c>
      <c r="BX197" s="126">
        <f t="shared" si="575"/>
        <v>1.25</v>
      </c>
      <c r="BY197" s="126">
        <f t="shared" si="576"/>
        <v>0</v>
      </c>
      <c r="BZ197" s="126">
        <f t="shared" si="576"/>
        <v>0</v>
      </c>
      <c r="CA197" s="126">
        <f t="shared" si="576"/>
        <v>0</v>
      </c>
    </row>
    <row r="198" spans="1:79">
      <c r="A198" s="147" t="str">
        <f t="shared" si="331"/>
        <v>D</v>
      </c>
      <c r="B198" s="148">
        <f t="shared" si="332"/>
        <v>70000</v>
      </c>
      <c r="C198" s="149" t="s">
        <v>173</v>
      </c>
      <c r="D198" s="150" t="s">
        <v>0</v>
      </c>
      <c r="E198" s="150" t="s">
        <v>0</v>
      </c>
      <c r="F198" s="145" t="s">
        <v>177</v>
      </c>
      <c r="G198" s="150" t="s">
        <v>165</v>
      </c>
      <c r="H198" s="150" t="s">
        <v>0</v>
      </c>
      <c r="I198" s="150" t="s">
        <v>0</v>
      </c>
      <c r="J198" s="151" t="s">
        <v>0</v>
      </c>
      <c r="K198" s="13">
        <v>1</v>
      </c>
      <c r="L198" s="12" t="s">
        <v>32</v>
      </c>
      <c r="M198" s="13">
        <v>2.2999999999999998</v>
      </c>
      <c r="N198" s="13">
        <v>2.65</v>
      </c>
      <c r="O198" s="14">
        <v>4.95</v>
      </c>
      <c r="P198" s="113">
        <f t="shared" si="561"/>
        <v>1</v>
      </c>
      <c r="Q198" s="114">
        <f t="shared" si="562"/>
        <v>0</v>
      </c>
      <c r="R198" s="114">
        <f t="shared" si="563"/>
        <v>4.95</v>
      </c>
      <c r="S198" s="114">
        <f t="shared" si="564"/>
        <v>0</v>
      </c>
      <c r="T198" s="93">
        <f t="shared" si="565"/>
        <v>1</v>
      </c>
      <c r="U198" t="s">
        <v>0</v>
      </c>
      <c r="V198" s="79"/>
      <c r="W198" s="76"/>
      <c r="X198" s="76"/>
      <c r="Y198" s="76"/>
      <c r="Z198" s="76"/>
      <c r="AA198" s="80"/>
      <c r="AB198" s="79"/>
      <c r="AC198" s="76"/>
      <c r="AD198" s="76"/>
      <c r="AE198" s="76"/>
      <c r="AF198" s="76"/>
      <c r="AG198" s="80"/>
      <c r="AH198" s="79"/>
      <c r="AI198" s="76"/>
      <c r="AJ198" s="76"/>
      <c r="AK198" s="76"/>
      <c r="AL198" s="76"/>
      <c r="AM198" s="80"/>
      <c r="AN198" s="79">
        <v>1</v>
      </c>
      <c r="AO198" s="76"/>
      <c r="AP198" s="76"/>
      <c r="AQ198" s="76"/>
      <c r="AR198" s="76"/>
      <c r="AS198" s="80"/>
      <c r="AT198" s="79"/>
      <c r="AU198" s="76"/>
      <c r="AV198" s="76"/>
      <c r="AW198" s="76"/>
      <c r="AX198" s="76"/>
      <c r="AY198" s="80"/>
      <c r="AZ198" s="79"/>
      <c r="BA198" s="76"/>
      <c r="BB198" s="76"/>
      <c r="BC198" s="76"/>
      <c r="BD198" s="76"/>
      <c r="BE198" s="80"/>
      <c r="BF198" s="79"/>
      <c r="BG198" s="76"/>
      <c r="BH198" s="76"/>
      <c r="BI198" s="76"/>
      <c r="BJ198" s="76"/>
      <c r="BK198" s="80"/>
      <c r="BM198" s="125">
        <f t="shared" si="566"/>
        <v>0</v>
      </c>
      <c r="BN198" s="126">
        <f t="shared" si="567"/>
        <v>0</v>
      </c>
      <c r="BO198" s="126">
        <f t="shared" si="568"/>
        <v>0</v>
      </c>
      <c r="BP198" s="126">
        <f t="shared" si="569"/>
        <v>1</v>
      </c>
      <c r="BQ198" s="126">
        <f>SUM(AT198:AY198)</f>
        <v>0</v>
      </c>
      <c r="BR198" s="126">
        <f t="shared" si="570"/>
        <v>0</v>
      </c>
      <c r="BS198" s="127">
        <f t="shared" si="571"/>
        <v>0</v>
      </c>
      <c r="BT198" s="74"/>
      <c r="BU198" s="125">
        <f t="shared" si="572"/>
        <v>0</v>
      </c>
      <c r="BV198" s="126">
        <f t="shared" si="573"/>
        <v>0</v>
      </c>
      <c r="BW198" s="126">
        <f t="shared" si="574"/>
        <v>0</v>
      </c>
      <c r="BX198" s="126">
        <f t="shared" si="575"/>
        <v>4.95</v>
      </c>
      <c r="BY198" s="126">
        <f t="shared" si="576"/>
        <v>0</v>
      </c>
      <c r="BZ198" s="126">
        <f t="shared" si="576"/>
        <v>0</v>
      </c>
      <c r="CA198" s="126">
        <f t="shared" si="576"/>
        <v>0</v>
      </c>
    </row>
    <row r="199" spans="1:79">
      <c r="A199" s="147" t="str">
        <f t="shared" si="331"/>
        <v>D</v>
      </c>
      <c r="B199" s="148">
        <f t="shared" si="332"/>
        <v>70000</v>
      </c>
      <c r="C199" s="149" t="s">
        <v>173</v>
      </c>
      <c r="D199" s="150" t="s">
        <v>0</v>
      </c>
      <c r="E199" s="150" t="s">
        <v>0</v>
      </c>
      <c r="F199" s="145" t="s">
        <v>178</v>
      </c>
      <c r="G199" s="150" t="s">
        <v>165</v>
      </c>
      <c r="H199" s="150" t="s">
        <v>0</v>
      </c>
      <c r="I199" s="150" t="s">
        <v>0</v>
      </c>
      <c r="J199" s="151" t="s">
        <v>0</v>
      </c>
      <c r="K199" s="13">
        <v>1</v>
      </c>
      <c r="L199" s="12" t="s">
        <v>32</v>
      </c>
      <c r="M199" s="13">
        <v>1.75</v>
      </c>
      <c r="N199" s="13">
        <v>0</v>
      </c>
      <c r="O199" s="14">
        <v>1.75</v>
      </c>
      <c r="P199" s="113">
        <f t="shared" si="561"/>
        <v>1</v>
      </c>
      <c r="Q199" s="114">
        <f t="shared" si="562"/>
        <v>0</v>
      </c>
      <c r="R199" s="114">
        <f t="shared" si="563"/>
        <v>1.75</v>
      </c>
      <c r="S199" s="114">
        <f t="shared" si="564"/>
        <v>0</v>
      </c>
      <c r="T199" s="93">
        <f t="shared" si="565"/>
        <v>1</v>
      </c>
      <c r="U199" t="s">
        <v>0</v>
      </c>
      <c r="V199" s="79"/>
      <c r="W199" s="76"/>
      <c r="X199" s="76"/>
      <c r="Y199" s="76"/>
      <c r="Z199" s="76"/>
      <c r="AA199" s="80"/>
      <c r="AB199" s="79"/>
      <c r="AC199" s="76"/>
      <c r="AD199" s="76"/>
      <c r="AE199" s="76"/>
      <c r="AF199" s="76"/>
      <c r="AG199" s="80"/>
      <c r="AH199" s="79"/>
      <c r="AI199" s="76"/>
      <c r="AJ199" s="76"/>
      <c r="AK199" s="76"/>
      <c r="AL199" s="76"/>
      <c r="AM199" s="80"/>
      <c r="AN199" s="79">
        <v>1</v>
      </c>
      <c r="AO199" s="76"/>
      <c r="AP199" s="76"/>
      <c r="AQ199" s="76"/>
      <c r="AR199" s="76"/>
      <c r="AS199" s="80"/>
      <c r="AT199" s="79"/>
      <c r="AU199" s="76"/>
      <c r="AV199" s="76"/>
      <c r="AW199" s="76"/>
      <c r="AX199" s="76"/>
      <c r="AY199" s="80"/>
      <c r="AZ199" s="79"/>
      <c r="BA199" s="76"/>
      <c r="BB199" s="76"/>
      <c r="BC199" s="76"/>
      <c r="BD199" s="76"/>
      <c r="BE199" s="80"/>
      <c r="BF199" s="79"/>
      <c r="BG199" s="76"/>
      <c r="BH199" s="76"/>
      <c r="BI199" s="76"/>
      <c r="BJ199" s="76"/>
      <c r="BK199" s="80"/>
      <c r="BM199" s="125">
        <f t="shared" si="566"/>
        <v>0</v>
      </c>
      <c r="BN199" s="126">
        <f t="shared" si="567"/>
        <v>0</v>
      </c>
      <c r="BO199" s="126">
        <f t="shared" si="568"/>
        <v>0</v>
      </c>
      <c r="BP199" s="126">
        <f t="shared" si="569"/>
        <v>1</v>
      </c>
      <c r="BQ199" s="126">
        <f>SUM(AT199:AY199)</f>
        <v>0</v>
      </c>
      <c r="BR199" s="126">
        <f t="shared" si="570"/>
        <v>0</v>
      </c>
      <c r="BS199" s="127">
        <f t="shared" si="571"/>
        <v>0</v>
      </c>
      <c r="BT199" s="74"/>
      <c r="BU199" s="125">
        <f t="shared" si="572"/>
        <v>0</v>
      </c>
      <c r="BV199" s="126">
        <f t="shared" si="573"/>
        <v>0</v>
      </c>
      <c r="BW199" s="126">
        <f t="shared" si="574"/>
        <v>0</v>
      </c>
      <c r="BX199" s="126">
        <f t="shared" si="575"/>
        <v>1.75</v>
      </c>
      <c r="BY199" s="126">
        <f t="shared" si="576"/>
        <v>0</v>
      </c>
      <c r="BZ199" s="126">
        <f t="shared" si="576"/>
        <v>0</v>
      </c>
      <c r="CA199" s="126">
        <f t="shared" si="576"/>
        <v>0</v>
      </c>
    </row>
    <row r="200" spans="1:79">
      <c r="A200" s="147" t="str">
        <f t="shared" si="331"/>
        <v>D</v>
      </c>
      <c r="B200" s="148">
        <f t="shared" si="332"/>
        <v>70000</v>
      </c>
      <c r="C200" s="149" t="s">
        <v>173</v>
      </c>
      <c r="D200" s="150" t="s">
        <v>0</v>
      </c>
      <c r="E200" s="150" t="s">
        <v>0</v>
      </c>
      <c r="F200" s="145" t="s">
        <v>179</v>
      </c>
      <c r="G200" s="150" t="s">
        <v>165</v>
      </c>
      <c r="H200" s="150" t="s">
        <v>0</v>
      </c>
      <c r="I200" s="150" t="s">
        <v>0</v>
      </c>
      <c r="J200" s="151" t="s">
        <v>0</v>
      </c>
      <c r="K200" s="13">
        <v>1</v>
      </c>
      <c r="L200" s="12" t="s">
        <v>32</v>
      </c>
      <c r="M200" s="13">
        <v>1.5</v>
      </c>
      <c r="N200" s="13">
        <v>0</v>
      </c>
      <c r="O200" s="14">
        <v>1.5</v>
      </c>
      <c r="P200" s="113">
        <f t="shared" si="561"/>
        <v>1</v>
      </c>
      <c r="Q200" s="114">
        <f t="shared" si="562"/>
        <v>0</v>
      </c>
      <c r="R200" s="114">
        <f t="shared" si="563"/>
        <v>1.5</v>
      </c>
      <c r="S200" s="114">
        <f t="shared" si="564"/>
        <v>0</v>
      </c>
      <c r="T200" s="93">
        <f t="shared" si="565"/>
        <v>1</v>
      </c>
      <c r="U200" t="s">
        <v>0</v>
      </c>
      <c r="V200" s="79"/>
      <c r="W200" s="76"/>
      <c r="X200" s="76"/>
      <c r="Y200" s="76"/>
      <c r="Z200" s="76"/>
      <c r="AA200" s="80"/>
      <c r="AB200" s="79"/>
      <c r="AC200" s="76"/>
      <c r="AD200" s="76"/>
      <c r="AE200" s="76"/>
      <c r="AF200" s="76"/>
      <c r="AG200" s="80"/>
      <c r="AH200" s="79"/>
      <c r="AI200" s="76"/>
      <c r="AJ200" s="76"/>
      <c r="AK200" s="76"/>
      <c r="AL200" s="76"/>
      <c r="AM200" s="80"/>
      <c r="AN200" s="79">
        <v>1</v>
      </c>
      <c r="AO200" s="76"/>
      <c r="AP200" s="76"/>
      <c r="AQ200" s="76"/>
      <c r="AR200" s="76"/>
      <c r="AS200" s="80"/>
      <c r="AT200" s="79"/>
      <c r="AU200" s="76"/>
      <c r="AV200" s="76"/>
      <c r="AW200" s="76"/>
      <c r="AX200" s="76"/>
      <c r="AY200" s="80"/>
      <c r="AZ200" s="79"/>
      <c r="BA200" s="76"/>
      <c r="BB200" s="76"/>
      <c r="BC200" s="76"/>
      <c r="BD200" s="76"/>
      <c r="BE200" s="80"/>
      <c r="BF200" s="79"/>
      <c r="BG200" s="76"/>
      <c r="BH200" s="76"/>
      <c r="BI200" s="76"/>
      <c r="BJ200" s="76"/>
      <c r="BK200" s="80"/>
      <c r="BM200" s="125">
        <f t="shared" si="566"/>
        <v>0</v>
      </c>
      <c r="BN200" s="126">
        <f t="shared" si="567"/>
        <v>0</v>
      </c>
      <c r="BO200" s="126">
        <f t="shared" si="568"/>
        <v>0</v>
      </c>
      <c r="BP200" s="126">
        <f t="shared" si="569"/>
        <v>1</v>
      </c>
      <c r="BQ200" s="126">
        <f>SUM(AT200:AY200)</f>
        <v>0</v>
      </c>
      <c r="BR200" s="126">
        <f t="shared" si="570"/>
        <v>0</v>
      </c>
      <c r="BS200" s="127">
        <f t="shared" si="571"/>
        <v>0</v>
      </c>
      <c r="BT200" s="74"/>
      <c r="BU200" s="125">
        <f t="shared" si="572"/>
        <v>0</v>
      </c>
      <c r="BV200" s="126">
        <f t="shared" si="573"/>
        <v>0</v>
      </c>
      <c r="BW200" s="126">
        <f t="shared" si="574"/>
        <v>0</v>
      </c>
      <c r="BX200" s="126">
        <f t="shared" si="575"/>
        <v>1.5</v>
      </c>
      <c r="BY200" s="126">
        <f t="shared" si="576"/>
        <v>0</v>
      </c>
      <c r="BZ200" s="126">
        <f t="shared" si="576"/>
        <v>0</v>
      </c>
      <c r="CA200" s="126">
        <f t="shared" si="576"/>
        <v>0</v>
      </c>
    </row>
    <row r="201" spans="1:79">
      <c r="A201" s="147" t="str">
        <f t="shared" si="331"/>
        <v>D</v>
      </c>
      <c r="B201" s="148">
        <f t="shared" si="332"/>
        <v>70000</v>
      </c>
      <c r="C201" s="149" t="s">
        <v>173</v>
      </c>
      <c r="D201" s="150" t="s">
        <v>0</v>
      </c>
      <c r="E201" s="150" t="s">
        <v>0</v>
      </c>
      <c r="F201" s="145" t="s">
        <v>180</v>
      </c>
      <c r="G201" s="150" t="s">
        <v>165</v>
      </c>
      <c r="H201" s="150" t="s">
        <v>0</v>
      </c>
      <c r="I201" s="150" t="s">
        <v>0</v>
      </c>
      <c r="J201" s="151" t="s">
        <v>0</v>
      </c>
      <c r="K201" s="13">
        <v>3</v>
      </c>
      <c r="L201" s="12" t="s">
        <v>32</v>
      </c>
      <c r="M201" s="13">
        <v>3.75</v>
      </c>
      <c r="N201" s="13">
        <v>0</v>
      </c>
      <c r="O201" s="14">
        <v>3.75</v>
      </c>
      <c r="P201" s="113">
        <f t="shared" si="561"/>
        <v>3</v>
      </c>
      <c r="Q201" s="114">
        <f t="shared" si="562"/>
        <v>0</v>
      </c>
      <c r="R201" s="114">
        <f t="shared" si="563"/>
        <v>3.75</v>
      </c>
      <c r="S201" s="114">
        <f t="shared" si="564"/>
        <v>0</v>
      </c>
      <c r="T201" s="93">
        <f t="shared" si="565"/>
        <v>1</v>
      </c>
      <c r="U201" t="s">
        <v>0</v>
      </c>
      <c r="V201" s="79"/>
      <c r="W201" s="76"/>
      <c r="X201" s="76"/>
      <c r="Y201" s="76"/>
      <c r="Z201" s="76"/>
      <c r="AA201" s="80"/>
      <c r="AB201" s="79"/>
      <c r="AC201" s="76"/>
      <c r="AD201" s="76"/>
      <c r="AE201" s="76"/>
      <c r="AF201" s="76"/>
      <c r="AG201" s="80"/>
      <c r="AH201" s="79"/>
      <c r="AI201" s="76"/>
      <c r="AJ201" s="76"/>
      <c r="AK201" s="76"/>
      <c r="AL201" s="76"/>
      <c r="AM201" s="80">
        <v>1</v>
      </c>
      <c r="AN201" s="79">
        <v>1</v>
      </c>
      <c r="AO201" s="76"/>
      <c r="AP201" s="76"/>
      <c r="AQ201" s="76"/>
      <c r="AR201" s="76"/>
      <c r="AS201" s="80"/>
      <c r="AT201" s="79"/>
      <c r="AU201" s="76"/>
      <c r="AV201" s="76"/>
      <c r="AW201" s="76"/>
      <c r="AX201" s="76"/>
      <c r="AY201" s="80">
        <v>1</v>
      </c>
      <c r="AZ201" s="79"/>
      <c r="BA201" s="76"/>
      <c r="BB201" s="76"/>
      <c r="BC201" s="76"/>
      <c r="BD201" s="76"/>
      <c r="BE201" s="80"/>
      <c r="BF201" s="79"/>
      <c r="BG201" s="76"/>
      <c r="BH201" s="76"/>
      <c r="BI201" s="76"/>
      <c r="BJ201" s="76"/>
      <c r="BK201" s="80"/>
      <c r="BM201" s="125">
        <f t="shared" si="566"/>
        <v>0</v>
      </c>
      <c r="BN201" s="126">
        <f t="shared" si="567"/>
        <v>0</v>
      </c>
      <c r="BO201" s="126">
        <f t="shared" si="568"/>
        <v>1</v>
      </c>
      <c r="BP201" s="126">
        <f t="shared" si="569"/>
        <v>1</v>
      </c>
      <c r="BQ201" s="126">
        <f>SUM(AT201:AY201)</f>
        <v>1</v>
      </c>
      <c r="BR201" s="126">
        <f t="shared" si="570"/>
        <v>0</v>
      </c>
      <c r="BS201" s="127">
        <f t="shared" si="571"/>
        <v>0</v>
      </c>
      <c r="BT201" s="74"/>
      <c r="BU201" s="125">
        <f t="shared" si="572"/>
        <v>0</v>
      </c>
      <c r="BV201" s="126">
        <f t="shared" si="573"/>
        <v>0</v>
      </c>
      <c r="BW201" s="126">
        <f t="shared" si="574"/>
        <v>1.25</v>
      </c>
      <c r="BX201" s="126">
        <f t="shared" si="575"/>
        <v>1.25</v>
      </c>
      <c r="BY201" s="126">
        <f t="shared" si="576"/>
        <v>1.25</v>
      </c>
      <c r="BZ201" s="126">
        <f t="shared" si="576"/>
        <v>0</v>
      </c>
      <c r="CA201" s="126">
        <f t="shared" si="576"/>
        <v>0</v>
      </c>
    </row>
    <row r="202" spans="1:79">
      <c r="A202" s="147" t="str">
        <f t="shared" si="331"/>
        <v>D</v>
      </c>
      <c r="B202" s="148">
        <f t="shared" si="332"/>
        <v>70000</v>
      </c>
      <c r="C202" s="149" t="s">
        <v>173</v>
      </c>
      <c r="D202" s="150" t="s">
        <v>0</v>
      </c>
      <c r="E202" s="150" t="s">
        <v>0</v>
      </c>
      <c r="F202" s="145" t="s">
        <v>181</v>
      </c>
      <c r="G202" s="150" t="s">
        <v>165</v>
      </c>
      <c r="H202" s="150" t="s">
        <v>0</v>
      </c>
      <c r="I202" s="150" t="s">
        <v>0</v>
      </c>
      <c r="J202" s="151" t="s">
        <v>0</v>
      </c>
      <c r="K202" s="13">
        <v>1</v>
      </c>
      <c r="L202" s="12" t="s">
        <v>32</v>
      </c>
      <c r="M202" s="13">
        <v>2</v>
      </c>
      <c r="N202" s="13">
        <v>0</v>
      </c>
      <c r="O202" s="14">
        <v>2</v>
      </c>
      <c r="P202" s="113">
        <f t="shared" si="561"/>
        <v>1</v>
      </c>
      <c r="Q202" s="114">
        <f t="shared" si="562"/>
        <v>0</v>
      </c>
      <c r="R202" s="114">
        <f t="shared" si="563"/>
        <v>2</v>
      </c>
      <c r="S202" s="114">
        <f t="shared" si="564"/>
        <v>0</v>
      </c>
      <c r="T202" s="93">
        <f t="shared" si="565"/>
        <v>1</v>
      </c>
      <c r="U202" t="s">
        <v>0</v>
      </c>
      <c r="V202" s="79"/>
      <c r="W202" s="76"/>
      <c r="X202" s="76"/>
      <c r="Y202" s="76"/>
      <c r="Z202" s="76"/>
      <c r="AA202" s="80"/>
      <c r="AB202" s="79"/>
      <c r="AC202" s="76"/>
      <c r="AD202" s="76"/>
      <c r="AE202" s="76"/>
      <c r="AF202" s="76"/>
      <c r="AG202" s="80"/>
      <c r="AH202" s="79"/>
      <c r="AI202" s="76"/>
      <c r="AJ202" s="76"/>
      <c r="AK202" s="76"/>
      <c r="AL202" s="76"/>
      <c r="AM202" s="80"/>
      <c r="AN202" s="79"/>
      <c r="AO202" s="76"/>
      <c r="AP202" s="76"/>
      <c r="AQ202" s="76"/>
      <c r="AR202" s="76"/>
      <c r="AS202" s="80"/>
      <c r="AT202" s="79"/>
      <c r="AU202" s="76"/>
      <c r="AV202" s="76"/>
      <c r="AW202" s="76"/>
      <c r="AX202" s="76"/>
      <c r="AY202" s="80">
        <v>1</v>
      </c>
      <c r="AZ202" s="79"/>
      <c r="BA202" s="76"/>
      <c r="BB202" s="76"/>
      <c r="BC202" s="76"/>
      <c r="BD202" s="76"/>
      <c r="BE202" s="80"/>
      <c r="BF202" s="79"/>
      <c r="BG202" s="76"/>
      <c r="BH202" s="76"/>
      <c r="BI202" s="76"/>
      <c r="BJ202" s="76"/>
      <c r="BK202" s="80"/>
      <c r="BM202" s="125">
        <f t="shared" si="566"/>
        <v>0</v>
      </c>
      <c r="BN202" s="126">
        <f t="shared" si="567"/>
        <v>0</v>
      </c>
      <c r="BO202" s="126">
        <f t="shared" si="568"/>
        <v>0</v>
      </c>
      <c r="BP202" s="126">
        <f t="shared" si="569"/>
        <v>0</v>
      </c>
      <c r="BQ202" s="126">
        <f>SUM(AT202:AY202)</f>
        <v>1</v>
      </c>
      <c r="BR202" s="126">
        <f t="shared" si="570"/>
        <v>0</v>
      </c>
      <c r="BS202" s="127">
        <f t="shared" si="571"/>
        <v>0</v>
      </c>
      <c r="BT202" s="74"/>
      <c r="BU202" s="125">
        <f t="shared" si="572"/>
        <v>0</v>
      </c>
      <c r="BV202" s="126">
        <f t="shared" si="573"/>
        <v>0</v>
      </c>
      <c r="BW202" s="126">
        <f t="shared" si="574"/>
        <v>0</v>
      </c>
      <c r="BX202" s="126">
        <f t="shared" si="575"/>
        <v>0</v>
      </c>
      <c r="BY202" s="126">
        <f t="shared" si="576"/>
        <v>2</v>
      </c>
      <c r="BZ202" s="126">
        <f t="shared" si="576"/>
        <v>0</v>
      </c>
      <c r="CA202" s="126">
        <f t="shared" si="576"/>
        <v>0</v>
      </c>
    </row>
    <row r="203" spans="1:79" ht="15.75">
      <c r="A203" s="152" t="str">
        <f t="shared" ref="A203:A266" si="577">IF(C203=C202,"D",(IF(C203="WBS","W","P")))</f>
        <v>P</v>
      </c>
      <c r="B203" s="153">
        <f t="shared" ref="B203:B266" si="578">IF(C203="WBS",B204,VALUE(IF(C203=0,0,IF(LEN(C203)=5,LEFT(C203,1)&amp;"0000",LEFT(C203,2)&amp;"0000"))))</f>
        <v>70000</v>
      </c>
      <c r="C203" s="154" t="s">
        <v>182</v>
      </c>
      <c r="D203" s="155" t="s">
        <v>0</v>
      </c>
      <c r="E203" s="155" t="s">
        <v>0</v>
      </c>
      <c r="F203" s="156" t="s">
        <v>183</v>
      </c>
      <c r="G203" s="155" t="s">
        <v>165</v>
      </c>
      <c r="H203" s="155" t="s">
        <v>0</v>
      </c>
      <c r="I203" s="155" t="s">
        <v>0</v>
      </c>
      <c r="J203" s="157" t="s">
        <v>0</v>
      </c>
      <c r="K203" s="9">
        <v>7</v>
      </c>
      <c r="L203" s="8" t="s">
        <v>56</v>
      </c>
      <c r="M203" s="9">
        <v>9.11</v>
      </c>
      <c r="N203" s="9">
        <v>4.37</v>
      </c>
      <c r="O203" s="10">
        <v>13.479999999999999</v>
      </c>
      <c r="P203" s="111"/>
      <c r="Q203" s="112"/>
      <c r="R203" s="112">
        <f>SUMIFS(R204:R$415,$C204:$C$415,$C203)</f>
        <v>13.479999999999999</v>
      </c>
      <c r="S203" s="112">
        <f>SUMIFS(S204:S$415,$C204:$C$415,$C203)</f>
        <v>0</v>
      </c>
      <c r="T203" s="92">
        <f>R203/O203</f>
        <v>1</v>
      </c>
      <c r="V203" s="77"/>
      <c r="W203" s="75"/>
      <c r="X203" s="75"/>
      <c r="Y203" s="75"/>
      <c r="Z203" s="75"/>
      <c r="AA203" s="78"/>
      <c r="AB203" s="77"/>
      <c r="AC203" s="75"/>
      <c r="AD203" s="75"/>
      <c r="AE203" s="75"/>
      <c r="AF203" s="75"/>
      <c r="AG203" s="78"/>
      <c r="AH203" s="77"/>
      <c r="AI203" s="75"/>
      <c r="AJ203" s="75"/>
      <c r="AK203" s="75"/>
      <c r="AL203" s="75"/>
      <c r="AM203" s="78"/>
      <c r="AN203" s="77"/>
      <c r="AO203" s="75"/>
      <c r="AP203" s="75"/>
      <c r="AQ203" s="75"/>
      <c r="AR203" s="75"/>
      <c r="AS203" s="78"/>
      <c r="AT203" s="77"/>
      <c r="AU203" s="75"/>
      <c r="AV203" s="75"/>
      <c r="AW203" s="75"/>
      <c r="AX203" s="75"/>
      <c r="AY203" s="78"/>
      <c r="AZ203" s="77"/>
      <c r="BA203" s="75"/>
      <c r="BB203" s="75"/>
      <c r="BC203" s="75"/>
      <c r="BD203" s="75"/>
      <c r="BE203" s="78"/>
      <c r="BF203" s="77"/>
      <c r="BG203" s="75"/>
      <c r="BH203" s="75"/>
      <c r="BI203" s="75"/>
      <c r="BJ203" s="75"/>
      <c r="BK203" s="78"/>
      <c r="BM203" s="122"/>
      <c r="BN203" s="123"/>
      <c r="BO203" s="123"/>
      <c r="BP203" s="123"/>
      <c r="BQ203" s="123"/>
      <c r="BR203" s="123"/>
      <c r="BS203" s="124"/>
      <c r="BT203" s="74"/>
      <c r="BU203" s="122"/>
      <c r="BV203" s="123"/>
      <c r="BW203" s="123"/>
      <c r="BX203" s="123"/>
      <c r="BY203" s="123"/>
      <c r="BZ203" s="123"/>
      <c r="CA203" s="123"/>
    </row>
    <row r="204" spans="1:79">
      <c r="A204" s="147" t="str">
        <f t="shared" si="577"/>
        <v>D</v>
      </c>
      <c r="B204" s="148">
        <f t="shared" si="578"/>
        <v>70000</v>
      </c>
      <c r="C204" s="149" t="s">
        <v>182</v>
      </c>
      <c r="D204" s="150" t="s">
        <v>0</v>
      </c>
      <c r="E204" s="150" t="s">
        <v>0</v>
      </c>
      <c r="F204" s="145" t="s">
        <v>184</v>
      </c>
      <c r="G204" s="150" t="s">
        <v>165</v>
      </c>
      <c r="H204" s="150" t="s">
        <v>0</v>
      </c>
      <c r="I204" s="150" t="s">
        <v>0</v>
      </c>
      <c r="J204" s="151" t="s">
        <v>0</v>
      </c>
      <c r="K204" s="13">
        <v>7</v>
      </c>
      <c r="L204" s="12" t="s">
        <v>56</v>
      </c>
      <c r="M204" s="13">
        <v>1.61</v>
      </c>
      <c r="N204" s="13">
        <v>0</v>
      </c>
      <c r="O204" s="14">
        <v>1.61</v>
      </c>
      <c r="P204" s="113">
        <f t="shared" ref="P204:P207" si="579">SUM(BM204:BS204)</f>
        <v>7</v>
      </c>
      <c r="Q204" s="114">
        <f t="shared" ref="Q204:Q207" si="580">K204-P204</f>
        <v>0</v>
      </c>
      <c r="R204" s="114">
        <f t="shared" ref="R204:R207" si="581">SUM(BU204:CA204)</f>
        <v>1.61</v>
      </c>
      <c r="S204" s="114">
        <f t="shared" ref="S204:S207" si="582">O204-R204</f>
        <v>0</v>
      </c>
      <c r="T204" s="93">
        <f t="shared" ref="T204:T207" si="583">R204/O204</f>
        <v>1</v>
      </c>
      <c r="U204" t="s">
        <v>0</v>
      </c>
      <c r="V204" s="79"/>
      <c r="W204" s="76"/>
      <c r="X204" s="76"/>
      <c r="Y204" s="76"/>
      <c r="Z204" s="76"/>
      <c r="AA204" s="80"/>
      <c r="AB204" s="79"/>
      <c r="AC204" s="76"/>
      <c r="AD204" s="76"/>
      <c r="AE204" s="76"/>
      <c r="AF204" s="76"/>
      <c r="AG204" s="80"/>
      <c r="AH204" s="79"/>
      <c r="AI204" s="76"/>
      <c r="AJ204" s="76"/>
      <c r="AK204" s="76"/>
      <c r="AL204" s="76"/>
      <c r="AM204" s="80"/>
      <c r="AN204" s="79"/>
      <c r="AO204" s="76"/>
      <c r="AP204" s="76"/>
      <c r="AQ204" s="76">
        <v>7</v>
      </c>
      <c r="AR204" s="76"/>
      <c r="AS204" s="80"/>
      <c r="AT204" s="79"/>
      <c r="AU204" s="76"/>
      <c r="AV204" s="76"/>
      <c r="AW204" s="76"/>
      <c r="AX204" s="76"/>
      <c r="AY204" s="80"/>
      <c r="AZ204" s="79"/>
      <c r="BA204" s="76"/>
      <c r="BB204" s="76"/>
      <c r="BC204" s="76"/>
      <c r="BD204" s="76"/>
      <c r="BE204" s="80"/>
      <c r="BF204" s="79"/>
      <c r="BG204" s="76"/>
      <c r="BH204" s="76"/>
      <c r="BI204" s="76"/>
      <c r="BJ204" s="76"/>
      <c r="BK204" s="80"/>
      <c r="BM204" s="125">
        <f t="shared" ref="BM204:BM207" si="584">SUM(V204:AA204)</f>
        <v>0</v>
      </c>
      <c r="BN204" s="126">
        <f t="shared" ref="BN204:BN207" si="585">SUM(AB204:AG204)</f>
        <v>0</v>
      </c>
      <c r="BO204" s="126">
        <f t="shared" ref="BO204:BO207" si="586">SUM(AH204:AM204)</f>
        <v>0</v>
      </c>
      <c r="BP204" s="126">
        <f t="shared" ref="BP204:BP207" si="587">SUM(AN204:AS204)</f>
        <v>7</v>
      </c>
      <c r="BQ204" s="126">
        <f>SUM(AT204:AY204)</f>
        <v>0</v>
      </c>
      <c r="BR204" s="126">
        <f t="shared" ref="BR204:BS207" si="588">SUM(AZ204:BE204)</f>
        <v>0</v>
      </c>
      <c r="BS204" s="127">
        <f t="shared" ref="BS204:BS207" si="589">SUM(BF204:BK204)</f>
        <v>0</v>
      </c>
      <c r="BT204" s="74"/>
      <c r="BU204" s="125">
        <f t="shared" ref="BU204:BU207" si="590">(BM204/$K204)*$O204</f>
        <v>0</v>
      </c>
      <c r="BV204" s="126">
        <f t="shared" ref="BV204:BV207" si="591">(BN204/$K204)*$O204</f>
        <v>0</v>
      </c>
      <c r="BW204" s="126">
        <f t="shared" ref="BW204:BW207" si="592">(BO204/$K204)*$O204</f>
        <v>0</v>
      </c>
      <c r="BX204" s="126">
        <f t="shared" ref="BX204:BX207" si="593">(BP204/$K204)*$O204</f>
        <v>1.61</v>
      </c>
      <c r="BY204" s="126">
        <f t="shared" ref="BY204:CA207" si="594">(BQ204/$K204)*$O204</f>
        <v>0</v>
      </c>
      <c r="BZ204" s="126">
        <f t="shared" si="594"/>
        <v>0</v>
      </c>
      <c r="CA204" s="126">
        <f t="shared" si="594"/>
        <v>0</v>
      </c>
    </row>
    <row r="205" spans="1:79">
      <c r="A205" s="147" t="str">
        <f t="shared" si="577"/>
        <v>D</v>
      </c>
      <c r="B205" s="148">
        <f t="shared" si="578"/>
        <v>70000</v>
      </c>
      <c r="C205" s="149" t="s">
        <v>182</v>
      </c>
      <c r="D205" s="150" t="s">
        <v>0</v>
      </c>
      <c r="E205" s="150" t="s">
        <v>0</v>
      </c>
      <c r="F205" s="145" t="s">
        <v>185</v>
      </c>
      <c r="G205" s="150" t="s">
        <v>165</v>
      </c>
      <c r="H205" s="150" t="s">
        <v>0</v>
      </c>
      <c r="I205" s="150" t="s">
        <v>0</v>
      </c>
      <c r="J205" s="151" t="s">
        <v>0</v>
      </c>
      <c r="K205" s="13">
        <v>1</v>
      </c>
      <c r="L205" s="12" t="s">
        <v>32</v>
      </c>
      <c r="M205" s="13">
        <v>5</v>
      </c>
      <c r="N205" s="13">
        <v>4.37</v>
      </c>
      <c r="O205" s="14">
        <v>9.3699999999999992</v>
      </c>
      <c r="P205" s="113">
        <f t="shared" si="579"/>
        <v>1</v>
      </c>
      <c r="Q205" s="114">
        <f t="shared" si="580"/>
        <v>0</v>
      </c>
      <c r="R205" s="114">
        <f t="shared" si="581"/>
        <v>9.3699999999999992</v>
      </c>
      <c r="S205" s="114">
        <f t="shared" si="582"/>
        <v>0</v>
      </c>
      <c r="T205" s="93">
        <f t="shared" si="583"/>
        <v>1</v>
      </c>
      <c r="U205" t="s">
        <v>0</v>
      </c>
      <c r="V205" s="79"/>
      <c r="W205" s="76"/>
      <c r="X205" s="76"/>
      <c r="Y205" s="76"/>
      <c r="Z205" s="76"/>
      <c r="AA205" s="80"/>
      <c r="AB205" s="79"/>
      <c r="AC205" s="76"/>
      <c r="AD205" s="76"/>
      <c r="AE205" s="76"/>
      <c r="AF205" s="76"/>
      <c r="AG205" s="80"/>
      <c r="AH205" s="79"/>
      <c r="AI205" s="76"/>
      <c r="AJ205" s="76"/>
      <c r="AK205" s="76"/>
      <c r="AL205" s="76"/>
      <c r="AM205" s="80"/>
      <c r="AN205" s="79"/>
      <c r="AO205" s="76"/>
      <c r="AP205" s="76"/>
      <c r="AQ205" s="76">
        <v>1</v>
      </c>
      <c r="AR205" s="76"/>
      <c r="AS205" s="80"/>
      <c r="AT205" s="79"/>
      <c r="AU205" s="76"/>
      <c r="AV205" s="76"/>
      <c r="AW205" s="76"/>
      <c r="AX205" s="76"/>
      <c r="AY205" s="80"/>
      <c r="AZ205" s="79"/>
      <c r="BA205" s="76"/>
      <c r="BB205" s="76"/>
      <c r="BC205" s="76"/>
      <c r="BD205" s="76"/>
      <c r="BE205" s="80"/>
      <c r="BF205" s="79"/>
      <c r="BG205" s="76"/>
      <c r="BH205" s="76"/>
      <c r="BI205" s="76"/>
      <c r="BJ205" s="76"/>
      <c r="BK205" s="80"/>
      <c r="BM205" s="125">
        <f t="shared" si="584"/>
        <v>0</v>
      </c>
      <c r="BN205" s="126">
        <f t="shared" si="585"/>
        <v>0</v>
      </c>
      <c r="BO205" s="126">
        <f t="shared" si="586"/>
        <v>0</v>
      </c>
      <c r="BP205" s="126">
        <f t="shared" si="587"/>
        <v>1</v>
      </c>
      <c r="BQ205" s="126">
        <f>SUM(AT205:AY205)</f>
        <v>0</v>
      </c>
      <c r="BR205" s="126">
        <f t="shared" si="588"/>
        <v>0</v>
      </c>
      <c r="BS205" s="127">
        <f t="shared" si="589"/>
        <v>0</v>
      </c>
      <c r="BT205" s="74"/>
      <c r="BU205" s="125">
        <f t="shared" si="590"/>
        <v>0</v>
      </c>
      <c r="BV205" s="126">
        <f t="shared" si="591"/>
        <v>0</v>
      </c>
      <c r="BW205" s="126">
        <f t="shared" si="592"/>
        <v>0</v>
      </c>
      <c r="BX205" s="126">
        <f t="shared" si="593"/>
        <v>9.3699999999999992</v>
      </c>
      <c r="BY205" s="126">
        <f t="shared" si="594"/>
        <v>0</v>
      </c>
      <c r="BZ205" s="126">
        <f t="shared" si="594"/>
        <v>0</v>
      </c>
      <c r="CA205" s="126">
        <f t="shared" si="594"/>
        <v>0</v>
      </c>
    </row>
    <row r="206" spans="1:79">
      <c r="A206" s="147" t="str">
        <f t="shared" si="577"/>
        <v>D</v>
      </c>
      <c r="B206" s="148">
        <f t="shared" si="578"/>
        <v>70000</v>
      </c>
      <c r="C206" s="149" t="s">
        <v>182</v>
      </c>
      <c r="D206" s="150" t="s">
        <v>0</v>
      </c>
      <c r="E206" s="150" t="s">
        <v>0</v>
      </c>
      <c r="F206" s="145" t="s">
        <v>179</v>
      </c>
      <c r="G206" s="150" t="s">
        <v>165</v>
      </c>
      <c r="H206" s="150" t="s">
        <v>0</v>
      </c>
      <c r="I206" s="150" t="s">
        <v>0</v>
      </c>
      <c r="J206" s="151" t="s">
        <v>0</v>
      </c>
      <c r="K206" s="13">
        <v>1</v>
      </c>
      <c r="L206" s="12" t="s">
        <v>32</v>
      </c>
      <c r="M206" s="13">
        <v>1.5</v>
      </c>
      <c r="N206" s="13">
        <v>0</v>
      </c>
      <c r="O206" s="14">
        <v>1.5</v>
      </c>
      <c r="P206" s="113">
        <f t="shared" si="579"/>
        <v>1</v>
      </c>
      <c r="Q206" s="114">
        <f t="shared" si="580"/>
        <v>0</v>
      </c>
      <c r="R206" s="114">
        <f t="shared" si="581"/>
        <v>1.5</v>
      </c>
      <c r="S206" s="114">
        <f t="shared" si="582"/>
        <v>0</v>
      </c>
      <c r="T206" s="93">
        <f t="shared" si="583"/>
        <v>1</v>
      </c>
      <c r="U206" t="s">
        <v>0</v>
      </c>
      <c r="V206" s="79"/>
      <c r="W206" s="76"/>
      <c r="X206" s="76"/>
      <c r="Y206" s="76"/>
      <c r="Z206" s="76"/>
      <c r="AA206" s="80"/>
      <c r="AB206" s="79"/>
      <c r="AC206" s="76"/>
      <c r="AD206" s="76"/>
      <c r="AE206" s="76"/>
      <c r="AF206" s="76"/>
      <c r="AG206" s="80"/>
      <c r="AH206" s="79"/>
      <c r="AI206" s="76"/>
      <c r="AJ206" s="76"/>
      <c r="AK206" s="76"/>
      <c r="AL206" s="76"/>
      <c r="AM206" s="80"/>
      <c r="AN206" s="79"/>
      <c r="AO206" s="76"/>
      <c r="AP206" s="76"/>
      <c r="AQ206" s="76">
        <v>1</v>
      </c>
      <c r="AR206" s="76"/>
      <c r="AS206" s="80"/>
      <c r="AT206" s="79"/>
      <c r="AU206" s="76"/>
      <c r="AV206" s="76"/>
      <c r="AW206" s="76"/>
      <c r="AX206" s="76"/>
      <c r="AY206" s="80"/>
      <c r="AZ206" s="79"/>
      <c r="BA206" s="76"/>
      <c r="BB206" s="76"/>
      <c r="BC206" s="76"/>
      <c r="BD206" s="76"/>
      <c r="BE206" s="80"/>
      <c r="BF206" s="79"/>
      <c r="BG206" s="76"/>
      <c r="BH206" s="76"/>
      <c r="BI206" s="76"/>
      <c r="BJ206" s="76"/>
      <c r="BK206" s="80"/>
      <c r="BM206" s="125">
        <f t="shared" si="584"/>
        <v>0</v>
      </c>
      <c r="BN206" s="126">
        <f t="shared" si="585"/>
        <v>0</v>
      </c>
      <c r="BO206" s="126">
        <f t="shared" si="586"/>
        <v>0</v>
      </c>
      <c r="BP206" s="126">
        <f t="shared" si="587"/>
        <v>1</v>
      </c>
      <c r="BQ206" s="126">
        <f>SUM(AT206:AY206)</f>
        <v>0</v>
      </c>
      <c r="BR206" s="126">
        <f t="shared" si="588"/>
        <v>0</v>
      </c>
      <c r="BS206" s="127">
        <f t="shared" si="589"/>
        <v>0</v>
      </c>
      <c r="BT206" s="74"/>
      <c r="BU206" s="125">
        <f t="shared" si="590"/>
        <v>0</v>
      </c>
      <c r="BV206" s="126">
        <f t="shared" si="591"/>
        <v>0</v>
      </c>
      <c r="BW206" s="126">
        <f t="shared" si="592"/>
        <v>0</v>
      </c>
      <c r="BX206" s="126">
        <f t="shared" si="593"/>
        <v>1.5</v>
      </c>
      <c r="BY206" s="126">
        <f t="shared" si="594"/>
        <v>0</v>
      </c>
      <c r="BZ206" s="126">
        <f t="shared" si="594"/>
        <v>0</v>
      </c>
      <c r="CA206" s="126">
        <f t="shared" si="594"/>
        <v>0</v>
      </c>
    </row>
    <row r="207" spans="1:79">
      <c r="A207" s="147" t="str">
        <f t="shared" si="577"/>
        <v>D</v>
      </c>
      <c r="B207" s="148">
        <f t="shared" si="578"/>
        <v>70000</v>
      </c>
      <c r="C207" s="149" t="s">
        <v>182</v>
      </c>
      <c r="D207" s="150" t="s">
        <v>0</v>
      </c>
      <c r="E207" s="150" t="s">
        <v>0</v>
      </c>
      <c r="F207" s="145" t="s">
        <v>186</v>
      </c>
      <c r="G207" s="150" t="s">
        <v>165</v>
      </c>
      <c r="H207" s="150" t="s">
        <v>0</v>
      </c>
      <c r="I207" s="150" t="s">
        <v>0</v>
      </c>
      <c r="J207" s="151" t="s">
        <v>0</v>
      </c>
      <c r="K207" s="13">
        <v>1</v>
      </c>
      <c r="L207" s="12" t="s">
        <v>32</v>
      </c>
      <c r="M207" s="13">
        <v>1</v>
      </c>
      <c r="N207" s="13">
        <v>0</v>
      </c>
      <c r="O207" s="14">
        <v>1</v>
      </c>
      <c r="P207" s="113">
        <f t="shared" si="579"/>
        <v>1</v>
      </c>
      <c r="Q207" s="114">
        <f t="shared" si="580"/>
        <v>0</v>
      </c>
      <c r="R207" s="114">
        <f t="shared" si="581"/>
        <v>1</v>
      </c>
      <c r="S207" s="114">
        <f t="shared" si="582"/>
        <v>0</v>
      </c>
      <c r="T207" s="93">
        <f t="shared" si="583"/>
        <v>1</v>
      </c>
      <c r="U207" t="s">
        <v>0</v>
      </c>
      <c r="V207" s="79"/>
      <c r="W207" s="76"/>
      <c r="X207" s="76"/>
      <c r="Y207" s="76"/>
      <c r="Z207" s="76"/>
      <c r="AA207" s="80"/>
      <c r="AB207" s="79"/>
      <c r="AC207" s="76"/>
      <c r="AD207" s="76"/>
      <c r="AE207" s="76"/>
      <c r="AF207" s="76"/>
      <c r="AG207" s="80"/>
      <c r="AH207" s="79"/>
      <c r="AI207" s="76"/>
      <c r="AJ207" s="76"/>
      <c r="AK207" s="76"/>
      <c r="AL207" s="76"/>
      <c r="AM207" s="80"/>
      <c r="AN207" s="79"/>
      <c r="AO207" s="76"/>
      <c r="AP207" s="76"/>
      <c r="AQ207" s="76"/>
      <c r="AR207" s="76"/>
      <c r="AS207" s="80">
        <v>1</v>
      </c>
      <c r="AT207" s="79"/>
      <c r="AU207" s="76"/>
      <c r="AV207" s="76"/>
      <c r="AW207" s="76"/>
      <c r="AX207" s="76"/>
      <c r="AY207" s="80"/>
      <c r="AZ207" s="79"/>
      <c r="BA207" s="76"/>
      <c r="BB207" s="76"/>
      <c r="BC207" s="76"/>
      <c r="BD207" s="76"/>
      <c r="BE207" s="80"/>
      <c r="BF207" s="79"/>
      <c r="BG207" s="76"/>
      <c r="BH207" s="76"/>
      <c r="BI207" s="76"/>
      <c r="BJ207" s="76"/>
      <c r="BK207" s="80"/>
      <c r="BM207" s="125">
        <f t="shared" si="584"/>
        <v>0</v>
      </c>
      <c r="BN207" s="126">
        <f t="shared" si="585"/>
        <v>0</v>
      </c>
      <c r="BO207" s="126">
        <f t="shared" si="586"/>
        <v>0</v>
      </c>
      <c r="BP207" s="126">
        <f t="shared" si="587"/>
        <v>1</v>
      </c>
      <c r="BQ207" s="126">
        <f>SUM(AT207:AY207)</f>
        <v>0</v>
      </c>
      <c r="BR207" s="126">
        <f t="shared" si="588"/>
        <v>0</v>
      </c>
      <c r="BS207" s="127">
        <f t="shared" si="589"/>
        <v>0</v>
      </c>
      <c r="BT207" s="74"/>
      <c r="BU207" s="125">
        <f t="shared" si="590"/>
        <v>0</v>
      </c>
      <c r="BV207" s="126">
        <f t="shared" si="591"/>
        <v>0</v>
      </c>
      <c r="BW207" s="126">
        <f t="shared" si="592"/>
        <v>0</v>
      </c>
      <c r="BX207" s="126">
        <f t="shared" si="593"/>
        <v>1</v>
      </c>
      <c r="BY207" s="126">
        <f t="shared" si="594"/>
        <v>0</v>
      </c>
      <c r="BZ207" s="126">
        <f t="shared" si="594"/>
        <v>0</v>
      </c>
      <c r="CA207" s="126">
        <f t="shared" si="594"/>
        <v>0</v>
      </c>
    </row>
    <row r="208" spans="1:79" ht="15.75">
      <c r="A208" s="152" t="str">
        <f t="shared" si="577"/>
        <v>P</v>
      </c>
      <c r="B208" s="153">
        <f t="shared" si="578"/>
        <v>70000</v>
      </c>
      <c r="C208" s="154" t="s">
        <v>187</v>
      </c>
      <c r="D208" s="155" t="s">
        <v>0</v>
      </c>
      <c r="E208" s="155" t="s">
        <v>0</v>
      </c>
      <c r="F208" s="156" t="s">
        <v>188</v>
      </c>
      <c r="G208" s="155" t="s">
        <v>165</v>
      </c>
      <c r="H208" s="155" t="s">
        <v>0</v>
      </c>
      <c r="I208" s="155" t="s">
        <v>0</v>
      </c>
      <c r="J208" s="157" t="s">
        <v>0</v>
      </c>
      <c r="K208" s="9">
        <v>36</v>
      </c>
      <c r="L208" s="8" t="s">
        <v>56</v>
      </c>
      <c r="M208" s="9">
        <v>18.55</v>
      </c>
      <c r="N208" s="9">
        <v>2.2999999999999998</v>
      </c>
      <c r="O208" s="10">
        <v>20.85</v>
      </c>
      <c r="P208" s="111"/>
      <c r="Q208" s="112"/>
      <c r="R208" s="112">
        <f>SUMIFS(R209:R$415,$C209:$C$415,$C208)</f>
        <v>20.85</v>
      </c>
      <c r="S208" s="112">
        <f>SUMIFS(S209:S$415,$C209:$C$415,$C208)</f>
        <v>0</v>
      </c>
      <c r="T208" s="92">
        <f>R208/O208</f>
        <v>1</v>
      </c>
      <c r="V208" s="77"/>
      <c r="W208" s="75"/>
      <c r="X208" s="75"/>
      <c r="Y208" s="75"/>
      <c r="Z208" s="75"/>
      <c r="AA208" s="78"/>
      <c r="AB208" s="77"/>
      <c r="AC208" s="75"/>
      <c r="AD208" s="75"/>
      <c r="AE208" s="75"/>
      <c r="AF208" s="75"/>
      <c r="AG208" s="78"/>
      <c r="AH208" s="77"/>
      <c r="AI208" s="75"/>
      <c r="AJ208" s="75"/>
      <c r="AK208" s="75"/>
      <c r="AL208" s="75"/>
      <c r="AM208" s="78"/>
      <c r="AN208" s="77"/>
      <c r="AO208" s="75"/>
      <c r="AP208" s="75"/>
      <c r="AQ208" s="75"/>
      <c r="AR208" s="75"/>
      <c r="AS208" s="78"/>
      <c r="AT208" s="77"/>
      <c r="AU208" s="75"/>
      <c r="AV208" s="75"/>
      <c r="AW208" s="75"/>
      <c r="AX208" s="75"/>
      <c r="AY208" s="78"/>
      <c r="AZ208" s="77"/>
      <c r="BA208" s="75"/>
      <c r="BB208" s="75"/>
      <c r="BC208" s="75"/>
      <c r="BD208" s="75"/>
      <c r="BE208" s="78"/>
      <c r="BF208" s="77"/>
      <c r="BG208" s="75"/>
      <c r="BH208" s="75"/>
      <c r="BI208" s="75"/>
      <c r="BJ208" s="75"/>
      <c r="BK208" s="78"/>
      <c r="BM208" s="122"/>
      <c r="BN208" s="123"/>
      <c r="BO208" s="123"/>
      <c r="BP208" s="123"/>
      <c r="BQ208" s="123"/>
      <c r="BR208" s="123"/>
      <c r="BS208" s="124"/>
      <c r="BT208" s="74"/>
      <c r="BU208" s="122"/>
      <c r="BV208" s="123"/>
      <c r="BW208" s="123"/>
      <c r="BX208" s="123"/>
      <c r="BY208" s="123"/>
      <c r="BZ208" s="123"/>
      <c r="CA208" s="123"/>
    </row>
    <row r="209" spans="1:79">
      <c r="A209" s="147" t="str">
        <f t="shared" si="577"/>
        <v>D</v>
      </c>
      <c r="B209" s="148">
        <f t="shared" si="578"/>
        <v>70000</v>
      </c>
      <c r="C209" s="149" t="s">
        <v>187</v>
      </c>
      <c r="D209" s="150" t="s">
        <v>0</v>
      </c>
      <c r="E209" s="150" t="s">
        <v>0</v>
      </c>
      <c r="F209" s="145" t="s">
        <v>176</v>
      </c>
      <c r="G209" s="150" t="s">
        <v>165</v>
      </c>
      <c r="H209" s="150" t="s">
        <v>0</v>
      </c>
      <c r="I209" s="150" t="s">
        <v>0</v>
      </c>
      <c r="J209" s="151" t="s">
        <v>0</v>
      </c>
      <c r="K209" s="13">
        <v>1</v>
      </c>
      <c r="L209" s="12" t="s">
        <v>56</v>
      </c>
      <c r="M209" s="13">
        <v>0.25</v>
      </c>
      <c r="N209" s="13">
        <v>0</v>
      </c>
      <c r="O209" s="14">
        <v>0.25</v>
      </c>
      <c r="P209" s="113">
        <f t="shared" ref="P209:P214" si="595">SUM(BM209:BS209)</f>
        <v>1</v>
      </c>
      <c r="Q209" s="114">
        <f t="shared" ref="Q209:Q214" si="596">K209-P209</f>
        <v>0</v>
      </c>
      <c r="R209" s="114">
        <f t="shared" ref="R209:R214" si="597">SUM(BU209:CA209)</f>
        <v>0.25</v>
      </c>
      <c r="S209" s="114">
        <f t="shared" ref="S209:S214" si="598">O209-R209</f>
        <v>0</v>
      </c>
      <c r="T209" s="93">
        <f t="shared" ref="T209:T214" si="599">R209/O209</f>
        <v>1</v>
      </c>
      <c r="U209" t="s">
        <v>0</v>
      </c>
      <c r="V209" s="79"/>
      <c r="W209" s="76"/>
      <c r="X209" s="76"/>
      <c r="Y209" s="76"/>
      <c r="Z209" s="76"/>
      <c r="AA209" s="80"/>
      <c r="AB209" s="79"/>
      <c r="AC209" s="76"/>
      <c r="AD209" s="76"/>
      <c r="AE209" s="76"/>
      <c r="AF209" s="76"/>
      <c r="AG209" s="80"/>
      <c r="AH209" s="79"/>
      <c r="AI209" s="76"/>
      <c r="AJ209" s="76"/>
      <c r="AK209" s="76"/>
      <c r="AL209" s="76"/>
      <c r="AM209" s="80"/>
      <c r="AN209" s="79"/>
      <c r="AO209" s="76"/>
      <c r="AP209" s="76"/>
      <c r="AQ209" s="76"/>
      <c r="AR209" s="76"/>
      <c r="AS209" s="80">
        <v>1</v>
      </c>
      <c r="AT209" s="79"/>
      <c r="AU209" s="76"/>
      <c r="AV209" s="76"/>
      <c r="AW209" s="76"/>
      <c r="AX209" s="76"/>
      <c r="AY209" s="80"/>
      <c r="AZ209" s="79"/>
      <c r="BA209" s="76"/>
      <c r="BB209" s="76"/>
      <c r="BC209" s="76"/>
      <c r="BD209" s="76"/>
      <c r="BE209" s="80"/>
      <c r="BF209" s="79"/>
      <c r="BG209" s="76"/>
      <c r="BH209" s="76"/>
      <c r="BI209" s="76"/>
      <c r="BJ209" s="76"/>
      <c r="BK209" s="80"/>
      <c r="BM209" s="125">
        <f t="shared" ref="BM209:BM214" si="600">SUM(V209:AA209)</f>
        <v>0</v>
      </c>
      <c r="BN209" s="126">
        <f t="shared" ref="BN209:BN214" si="601">SUM(AB209:AG209)</f>
        <v>0</v>
      </c>
      <c r="BO209" s="126">
        <f t="shared" ref="BO209:BO214" si="602">SUM(AH209:AM209)</f>
        <v>0</v>
      </c>
      <c r="BP209" s="126">
        <f t="shared" ref="BP209:BP214" si="603">SUM(AN209:AS209)</f>
        <v>1</v>
      </c>
      <c r="BQ209" s="126">
        <f>SUM(AT209:AY209)</f>
        <v>0</v>
      </c>
      <c r="BR209" s="126">
        <f t="shared" ref="BR209:BS214" si="604">SUM(AZ209:BE209)</f>
        <v>0</v>
      </c>
      <c r="BS209" s="127">
        <f t="shared" ref="BS209:BS214" si="605">SUM(BF209:BK209)</f>
        <v>0</v>
      </c>
      <c r="BT209" s="74"/>
      <c r="BU209" s="125">
        <f t="shared" ref="BU209:BU214" si="606">(BM209/$K209)*$O209</f>
        <v>0</v>
      </c>
      <c r="BV209" s="126">
        <f t="shared" ref="BV209:BV214" si="607">(BN209/$K209)*$O209</f>
        <v>0</v>
      </c>
      <c r="BW209" s="126">
        <f t="shared" ref="BW209:BW214" si="608">(BO209/$K209)*$O209</f>
        <v>0</v>
      </c>
      <c r="BX209" s="126">
        <f t="shared" ref="BX209:BX214" si="609">(BP209/$K209)*$O209</f>
        <v>0.25</v>
      </c>
      <c r="BY209" s="126">
        <f t="shared" ref="BY209:CA214" si="610">(BQ209/$K209)*$O209</f>
        <v>0</v>
      </c>
      <c r="BZ209" s="126">
        <f t="shared" si="610"/>
        <v>0</v>
      </c>
      <c r="CA209" s="126">
        <f t="shared" si="610"/>
        <v>0</v>
      </c>
    </row>
    <row r="210" spans="1:79">
      <c r="A210" s="147" t="str">
        <f t="shared" si="577"/>
        <v>D</v>
      </c>
      <c r="B210" s="148">
        <f t="shared" si="578"/>
        <v>70000</v>
      </c>
      <c r="C210" s="149" t="s">
        <v>187</v>
      </c>
      <c r="D210" s="150" t="s">
        <v>0</v>
      </c>
      <c r="E210" s="150" t="s">
        <v>0</v>
      </c>
      <c r="F210" s="145" t="s">
        <v>184</v>
      </c>
      <c r="G210" s="150" t="s">
        <v>165</v>
      </c>
      <c r="H210" s="150" t="s">
        <v>0</v>
      </c>
      <c r="I210" s="150" t="s">
        <v>0</v>
      </c>
      <c r="J210" s="151" t="s">
        <v>0</v>
      </c>
      <c r="K210" s="13">
        <v>35</v>
      </c>
      <c r="L210" s="12" t="s">
        <v>56</v>
      </c>
      <c r="M210" s="13">
        <v>8.0500000000000007</v>
      </c>
      <c r="N210" s="13">
        <v>0</v>
      </c>
      <c r="O210" s="14">
        <v>8.0500000000000007</v>
      </c>
      <c r="P210" s="113">
        <f t="shared" si="595"/>
        <v>35</v>
      </c>
      <c r="Q210" s="114">
        <f t="shared" si="596"/>
        <v>0</v>
      </c>
      <c r="R210" s="114">
        <f t="shared" si="597"/>
        <v>8.0500000000000007</v>
      </c>
      <c r="S210" s="114">
        <f t="shared" si="598"/>
        <v>0</v>
      </c>
      <c r="T210" s="93">
        <f t="shared" si="599"/>
        <v>1</v>
      </c>
      <c r="U210" t="s">
        <v>0</v>
      </c>
      <c r="V210" s="79"/>
      <c r="W210" s="76"/>
      <c r="X210" s="76"/>
      <c r="Y210" s="76"/>
      <c r="Z210" s="76"/>
      <c r="AA210" s="80"/>
      <c r="AB210" s="79"/>
      <c r="AC210" s="76"/>
      <c r="AD210" s="76"/>
      <c r="AE210" s="76"/>
      <c r="AF210" s="76"/>
      <c r="AG210" s="80"/>
      <c r="AH210" s="79"/>
      <c r="AI210" s="76"/>
      <c r="AJ210" s="76"/>
      <c r="AK210" s="76"/>
      <c r="AL210" s="76"/>
      <c r="AM210" s="80"/>
      <c r="AN210" s="79"/>
      <c r="AO210" s="76"/>
      <c r="AP210" s="76"/>
      <c r="AQ210" s="76"/>
      <c r="AR210" s="76"/>
      <c r="AS210" s="80">
        <v>30</v>
      </c>
      <c r="AT210" s="79"/>
      <c r="AU210" s="76"/>
      <c r="AV210" s="76"/>
      <c r="AW210" s="76">
        <v>5</v>
      </c>
      <c r="AX210" s="76"/>
      <c r="AY210" s="80"/>
      <c r="AZ210" s="79"/>
      <c r="BA210" s="76"/>
      <c r="BB210" s="76"/>
      <c r="BC210" s="76"/>
      <c r="BD210" s="76"/>
      <c r="BE210" s="80"/>
      <c r="BF210" s="79"/>
      <c r="BG210" s="76"/>
      <c r="BH210" s="76"/>
      <c r="BI210" s="76"/>
      <c r="BJ210" s="76"/>
      <c r="BK210" s="80"/>
      <c r="BM210" s="125">
        <f t="shared" si="600"/>
        <v>0</v>
      </c>
      <c r="BN210" s="126">
        <f t="shared" si="601"/>
        <v>0</v>
      </c>
      <c r="BO210" s="126">
        <f t="shared" si="602"/>
        <v>0</v>
      </c>
      <c r="BP210" s="126">
        <f t="shared" si="603"/>
        <v>30</v>
      </c>
      <c r="BQ210" s="126">
        <f>SUM(AT210:AY210)</f>
        <v>5</v>
      </c>
      <c r="BR210" s="126">
        <f t="shared" si="604"/>
        <v>0</v>
      </c>
      <c r="BS210" s="127">
        <f t="shared" si="605"/>
        <v>0</v>
      </c>
      <c r="BT210" s="74"/>
      <c r="BU210" s="125">
        <f t="shared" si="606"/>
        <v>0</v>
      </c>
      <c r="BV210" s="126">
        <f t="shared" si="607"/>
        <v>0</v>
      </c>
      <c r="BW210" s="126">
        <f t="shared" si="608"/>
        <v>0</v>
      </c>
      <c r="BX210" s="126">
        <f t="shared" si="609"/>
        <v>6.9</v>
      </c>
      <c r="BY210" s="126">
        <f t="shared" si="610"/>
        <v>1.1500000000000001</v>
      </c>
      <c r="BZ210" s="126">
        <f t="shared" si="610"/>
        <v>0</v>
      </c>
      <c r="CA210" s="126">
        <f t="shared" si="610"/>
        <v>0</v>
      </c>
    </row>
    <row r="211" spans="1:79">
      <c r="A211" s="147" t="str">
        <f t="shared" si="577"/>
        <v>D</v>
      </c>
      <c r="B211" s="148">
        <f t="shared" si="578"/>
        <v>70000</v>
      </c>
      <c r="C211" s="149" t="s">
        <v>187</v>
      </c>
      <c r="D211" s="150" t="s">
        <v>0</v>
      </c>
      <c r="E211" s="150" t="s">
        <v>0</v>
      </c>
      <c r="F211" s="145" t="s">
        <v>189</v>
      </c>
      <c r="G211" s="150" t="s">
        <v>165</v>
      </c>
      <c r="H211" s="150" t="s">
        <v>0</v>
      </c>
      <c r="I211" s="150" t="s">
        <v>0</v>
      </c>
      <c r="J211" s="151" t="s">
        <v>0</v>
      </c>
      <c r="K211" s="13">
        <v>1</v>
      </c>
      <c r="L211" s="12" t="s">
        <v>32</v>
      </c>
      <c r="M211" s="13">
        <v>2</v>
      </c>
      <c r="N211" s="13">
        <v>2.2999999999999998</v>
      </c>
      <c r="O211" s="14">
        <v>4.3</v>
      </c>
      <c r="P211" s="113">
        <f t="shared" si="595"/>
        <v>1</v>
      </c>
      <c r="Q211" s="114">
        <f t="shared" si="596"/>
        <v>0</v>
      </c>
      <c r="R211" s="114">
        <f t="shared" si="597"/>
        <v>4.3</v>
      </c>
      <c r="S211" s="114">
        <f t="shared" si="598"/>
        <v>0</v>
      </c>
      <c r="T211" s="93">
        <f t="shared" si="599"/>
        <v>1</v>
      </c>
      <c r="U211" t="s">
        <v>0</v>
      </c>
      <c r="V211" s="79"/>
      <c r="W211" s="76"/>
      <c r="X211" s="76"/>
      <c r="Y211" s="76"/>
      <c r="Z211" s="76"/>
      <c r="AA211" s="80"/>
      <c r="AB211" s="79"/>
      <c r="AC211" s="76"/>
      <c r="AD211" s="76"/>
      <c r="AE211" s="76"/>
      <c r="AF211" s="76"/>
      <c r="AG211" s="80"/>
      <c r="AH211" s="79"/>
      <c r="AI211" s="76"/>
      <c r="AJ211" s="76"/>
      <c r="AK211" s="76"/>
      <c r="AL211" s="76"/>
      <c r="AM211" s="80"/>
      <c r="AN211" s="79"/>
      <c r="AO211" s="76"/>
      <c r="AP211" s="76"/>
      <c r="AQ211" s="76"/>
      <c r="AR211" s="76"/>
      <c r="AS211" s="80">
        <v>0.5</v>
      </c>
      <c r="AT211" s="79"/>
      <c r="AU211" s="76"/>
      <c r="AV211" s="76"/>
      <c r="AW211" s="76">
        <v>0.5</v>
      </c>
      <c r="AX211" s="76"/>
      <c r="AY211" s="80"/>
      <c r="AZ211" s="79"/>
      <c r="BA211" s="76"/>
      <c r="BB211" s="76"/>
      <c r="BC211" s="76"/>
      <c r="BD211" s="76"/>
      <c r="BE211" s="80"/>
      <c r="BF211" s="79"/>
      <c r="BG211" s="76"/>
      <c r="BH211" s="76"/>
      <c r="BI211" s="76"/>
      <c r="BJ211" s="76"/>
      <c r="BK211" s="80"/>
      <c r="BM211" s="125">
        <f t="shared" si="600"/>
        <v>0</v>
      </c>
      <c r="BN211" s="126">
        <f t="shared" si="601"/>
        <v>0</v>
      </c>
      <c r="BO211" s="126">
        <f t="shared" si="602"/>
        <v>0</v>
      </c>
      <c r="BP211" s="126">
        <f t="shared" si="603"/>
        <v>0.5</v>
      </c>
      <c r="BQ211" s="126">
        <f>SUM(AT211:AY211)</f>
        <v>0.5</v>
      </c>
      <c r="BR211" s="126">
        <f t="shared" si="604"/>
        <v>0</v>
      </c>
      <c r="BS211" s="127">
        <f t="shared" si="605"/>
        <v>0</v>
      </c>
      <c r="BT211" s="74"/>
      <c r="BU211" s="125">
        <f t="shared" si="606"/>
        <v>0</v>
      </c>
      <c r="BV211" s="126">
        <f t="shared" si="607"/>
        <v>0</v>
      </c>
      <c r="BW211" s="126">
        <f t="shared" si="608"/>
        <v>0</v>
      </c>
      <c r="BX211" s="126">
        <f t="shared" si="609"/>
        <v>2.15</v>
      </c>
      <c r="BY211" s="126">
        <f t="shared" si="610"/>
        <v>2.15</v>
      </c>
      <c r="BZ211" s="126">
        <f t="shared" si="610"/>
        <v>0</v>
      </c>
      <c r="CA211" s="126">
        <f t="shared" si="610"/>
        <v>0</v>
      </c>
    </row>
    <row r="212" spans="1:79">
      <c r="A212" s="147" t="str">
        <f t="shared" si="577"/>
        <v>D</v>
      </c>
      <c r="B212" s="148">
        <f t="shared" si="578"/>
        <v>70000</v>
      </c>
      <c r="C212" s="149" t="s">
        <v>187</v>
      </c>
      <c r="D212" s="150" t="s">
        <v>0</v>
      </c>
      <c r="E212" s="150" t="s">
        <v>0</v>
      </c>
      <c r="F212" s="145" t="s">
        <v>180</v>
      </c>
      <c r="G212" s="150" t="s">
        <v>165</v>
      </c>
      <c r="H212" s="150" t="s">
        <v>0</v>
      </c>
      <c r="I212" s="150" t="s">
        <v>0</v>
      </c>
      <c r="J212" s="151" t="s">
        <v>0</v>
      </c>
      <c r="K212" s="13">
        <v>1</v>
      </c>
      <c r="L212" s="12" t="s">
        <v>32</v>
      </c>
      <c r="M212" s="13">
        <v>1.25</v>
      </c>
      <c r="N212" s="13">
        <v>0</v>
      </c>
      <c r="O212" s="14">
        <v>1.25</v>
      </c>
      <c r="P212" s="113">
        <f t="shared" si="595"/>
        <v>1</v>
      </c>
      <c r="Q212" s="114">
        <f t="shared" si="596"/>
        <v>0</v>
      </c>
      <c r="R212" s="114">
        <f t="shared" si="597"/>
        <v>1.25</v>
      </c>
      <c r="S212" s="114">
        <f t="shared" si="598"/>
        <v>0</v>
      </c>
      <c r="T212" s="93">
        <f t="shared" si="599"/>
        <v>1</v>
      </c>
      <c r="U212" t="s">
        <v>0</v>
      </c>
      <c r="V212" s="79"/>
      <c r="W212" s="76"/>
      <c r="X212" s="76"/>
      <c r="Y212" s="76"/>
      <c r="Z212" s="76"/>
      <c r="AA212" s="80"/>
      <c r="AB212" s="79"/>
      <c r="AC212" s="76"/>
      <c r="AD212" s="76"/>
      <c r="AE212" s="76"/>
      <c r="AF212" s="76"/>
      <c r="AG212" s="80"/>
      <c r="AH212" s="79"/>
      <c r="AI212" s="76"/>
      <c r="AJ212" s="76"/>
      <c r="AK212" s="76"/>
      <c r="AL212" s="76"/>
      <c r="AM212" s="80"/>
      <c r="AN212" s="79"/>
      <c r="AO212" s="76"/>
      <c r="AP212" s="76"/>
      <c r="AQ212" s="76"/>
      <c r="AR212" s="76"/>
      <c r="AS212" s="80">
        <v>0.5</v>
      </c>
      <c r="AT212" s="79"/>
      <c r="AU212" s="76"/>
      <c r="AV212" s="76"/>
      <c r="AW212" s="76">
        <v>0.5</v>
      </c>
      <c r="AX212" s="76"/>
      <c r="AY212" s="80"/>
      <c r="AZ212" s="79"/>
      <c r="BA212" s="76"/>
      <c r="BB212" s="76"/>
      <c r="BC212" s="76"/>
      <c r="BD212" s="76"/>
      <c r="BE212" s="80"/>
      <c r="BF212" s="79"/>
      <c r="BG212" s="76"/>
      <c r="BH212" s="76"/>
      <c r="BI212" s="76"/>
      <c r="BJ212" s="76"/>
      <c r="BK212" s="80"/>
      <c r="BM212" s="125">
        <f t="shared" si="600"/>
        <v>0</v>
      </c>
      <c r="BN212" s="126">
        <f t="shared" si="601"/>
        <v>0</v>
      </c>
      <c r="BO212" s="126">
        <f t="shared" si="602"/>
        <v>0</v>
      </c>
      <c r="BP212" s="126">
        <f t="shared" si="603"/>
        <v>0.5</v>
      </c>
      <c r="BQ212" s="126">
        <f>SUM(AT212:AY212)</f>
        <v>0.5</v>
      </c>
      <c r="BR212" s="126">
        <f t="shared" si="604"/>
        <v>0</v>
      </c>
      <c r="BS212" s="127">
        <f t="shared" si="605"/>
        <v>0</v>
      </c>
      <c r="BT212" s="74"/>
      <c r="BU212" s="125">
        <f t="shared" si="606"/>
        <v>0</v>
      </c>
      <c r="BV212" s="126">
        <f t="shared" si="607"/>
        <v>0</v>
      </c>
      <c r="BW212" s="126">
        <f t="shared" si="608"/>
        <v>0</v>
      </c>
      <c r="BX212" s="126">
        <f t="shared" si="609"/>
        <v>0.625</v>
      </c>
      <c r="BY212" s="126">
        <f t="shared" si="610"/>
        <v>0.625</v>
      </c>
      <c r="BZ212" s="126">
        <f t="shared" si="610"/>
        <v>0</v>
      </c>
      <c r="CA212" s="126">
        <f t="shared" si="610"/>
        <v>0</v>
      </c>
    </row>
    <row r="213" spans="1:79">
      <c r="A213" s="147" t="str">
        <f t="shared" si="577"/>
        <v>D</v>
      </c>
      <c r="B213" s="148">
        <f t="shared" si="578"/>
        <v>70000</v>
      </c>
      <c r="C213" s="149" t="s">
        <v>187</v>
      </c>
      <c r="D213" s="150" t="s">
        <v>0</v>
      </c>
      <c r="E213" s="150" t="s">
        <v>0</v>
      </c>
      <c r="F213" s="145" t="s">
        <v>186</v>
      </c>
      <c r="G213" s="150" t="s">
        <v>165</v>
      </c>
      <c r="H213" s="150" t="s">
        <v>0</v>
      </c>
      <c r="I213" s="150" t="s">
        <v>0</v>
      </c>
      <c r="J213" s="151" t="s">
        <v>0</v>
      </c>
      <c r="K213" s="13">
        <v>1</v>
      </c>
      <c r="L213" s="12" t="s">
        <v>32</v>
      </c>
      <c r="M213" s="13">
        <v>1</v>
      </c>
      <c r="N213" s="13">
        <v>0</v>
      </c>
      <c r="O213" s="14">
        <v>1</v>
      </c>
      <c r="P213" s="113">
        <f t="shared" si="595"/>
        <v>1</v>
      </c>
      <c r="Q213" s="114">
        <f t="shared" si="596"/>
        <v>0</v>
      </c>
      <c r="R213" s="114">
        <f t="shared" si="597"/>
        <v>1</v>
      </c>
      <c r="S213" s="114">
        <f t="shared" si="598"/>
        <v>0</v>
      </c>
      <c r="T213" s="93">
        <f t="shared" si="599"/>
        <v>1</v>
      </c>
      <c r="U213" t="s">
        <v>0</v>
      </c>
      <c r="V213" s="79"/>
      <c r="W213" s="76"/>
      <c r="X213" s="76"/>
      <c r="Y213" s="76"/>
      <c r="Z213" s="76"/>
      <c r="AA213" s="80"/>
      <c r="AB213" s="79"/>
      <c r="AC213" s="76"/>
      <c r="AD213" s="76"/>
      <c r="AE213" s="76"/>
      <c r="AF213" s="76"/>
      <c r="AG213" s="80"/>
      <c r="AH213" s="79"/>
      <c r="AI213" s="76"/>
      <c r="AJ213" s="76"/>
      <c r="AK213" s="76"/>
      <c r="AL213" s="76"/>
      <c r="AM213" s="80"/>
      <c r="AN213" s="79"/>
      <c r="AO213" s="76"/>
      <c r="AP213" s="76"/>
      <c r="AQ213" s="76"/>
      <c r="AR213" s="76"/>
      <c r="AS213" s="80">
        <v>0.5</v>
      </c>
      <c r="AT213" s="79"/>
      <c r="AU213" s="76"/>
      <c r="AV213" s="76"/>
      <c r="AW213" s="76">
        <v>0.5</v>
      </c>
      <c r="AX213" s="76"/>
      <c r="AY213" s="80"/>
      <c r="AZ213" s="79"/>
      <c r="BA213" s="76"/>
      <c r="BB213" s="76"/>
      <c r="BC213" s="76"/>
      <c r="BD213" s="76"/>
      <c r="BE213" s="80"/>
      <c r="BF213" s="79"/>
      <c r="BG213" s="76"/>
      <c r="BH213" s="76"/>
      <c r="BI213" s="76"/>
      <c r="BJ213" s="76"/>
      <c r="BK213" s="80"/>
      <c r="BM213" s="125">
        <f t="shared" si="600"/>
        <v>0</v>
      </c>
      <c r="BN213" s="126">
        <f t="shared" si="601"/>
        <v>0</v>
      </c>
      <c r="BO213" s="126">
        <f t="shared" si="602"/>
        <v>0</v>
      </c>
      <c r="BP213" s="126">
        <f t="shared" si="603"/>
        <v>0.5</v>
      </c>
      <c r="BQ213" s="126">
        <f>SUM(AT213:AY213)</f>
        <v>0.5</v>
      </c>
      <c r="BR213" s="126">
        <f t="shared" si="604"/>
        <v>0</v>
      </c>
      <c r="BS213" s="127">
        <f t="shared" si="605"/>
        <v>0</v>
      </c>
      <c r="BT213" s="74"/>
      <c r="BU213" s="125">
        <f t="shared" si="606"/>
        <v>0</v>
      </c>
      <c r="BV213" s="126">
        <f t="shared" si="607"/>
        <v>0</v>
      </c>
      <c r="BW213" s="126">
        <f t="shared" si="608"/>
        <v>0</v>
      </c>
      <c r="BX213" s="126">
        <f t="shared" si="609"/>
        <v>0.5</v>
      </c>
      <c r="BY213" s="126">
        <f t="shared" si="610"/>
        <v>0.5</v>
      </c>
      <c r="BZ213" s="126">
        <f t="shared" si="610"/>
        <v>0</v>
      </c>
      <c r="CA213" s="126">
        <f t="shared" si="610"/>
        <v>0</v>
      </c>
    </row>
    <row r="214" spans="1:79">
      <c r="A214" s="147" t="str">
        <f t="shared" si="577"/>
        <v>D</v>
      </c>
      <c r="B214" s="148">
        <f t="shared" si="578"/>
        <v>70000</v>
      </c>
      <c r="C214" s="149" t="s">
        <v>187</v>
      </c>
      <c r="D214" s="150" t="s">
        <v>0</v>
      </c>
      <c r="E214" s="150" t="s">
        <v>0</v>
      </c>
      <c r="F214" s="145" t="s">
        <v>181</v>
      </c>
      <c r="G214" s="150" t="s">
        <v>165</v>
      </c>
      <c r="H214" s="150" t="s">
        <v>0</v>
      </c>
      <c r="I214" s="150" t="s">
        <v>0</v>
      </c>
      <c r="J214" s="151" t="s">
        <v>0</v>
      </c>
      <c r="K214" s="13">
        <v>3</v>
      </c>
      <c r="L214" s="12" t="s">
        <v>32</v>
      </c>
      <c r="M214" s="13">
        <v>6</v>
      </c>
      <c r="N214" s="13">
        <v>0</v>
      </c>
      <c r="O214" s="14">
        <v>6</v>
      </c>
      <c r="P214" s="113">
        <f t="shared" si="595"/>
        <v>3</v>
      </c>
      <c r="Q214" s="114">
        <f t="shared" si="596"/>
        <v>0</v>
      </c>
      <c r="R214" s="114">
        <f t="shared" si="597"/>
        <v>6</v>
      </c>
      <c r="S214" s="114">
        <f t="shared" si="598"/>
        <v>0</v>
      </c>
      <c r="T214" s="93">
        <f t="shared" si="599"/>
        <v>1</v>
      </c>
      <c r="U214" t="s">
        <v>0</v>
      </c>
      <c r="V214" s="79"/>
      <c r="W214" s="76"/>
      <c r="X214" s="76"/>
      <c r="Y214" s="76"/>
      <c r="Z214" s="76"/>
      <c r="AA214" s="80"/>
      <c r="AB214" s="79"/>
      <c r="AC214" s="76"/>
      <c r="AD214" s="76"/>
      <c r="AE214" s="76"/>
      <c r="AF214" s="76"/>
      <c r="AG214" s="80"/>
      <c r="AH214" s="79"/>
      <c r="AI214" s="76"/>
      <c r="AJ214" s="76"/>
      <c r="AK214" s="76"/>
      <c r="AL214" s="76"/>
      <c r="AM214" s="80"/>
      <c r="AN214" s="79"/>
      <c r="AO214" s="76"/>
      <c r="AP214" s="76"/>
      <c r="AQ214" s="76"/>
      <c r="AR214" s="76"/>
      <c r="AS214" s="80">
        <v>2</v>
      </c>
      <c r="AT214" s="79"/>
      <c r="AU214" s="76"/>
      <c r="AV214" s="76"/>
      <c r="AW214" s="76">
        <v>1</v>
      </c>
      <c r="AX214" s="76"/>
      <c r="AY214" s="80"/>
      <c r="AZ214" s="79"/>
      <c r="BA214" s="76"/>
      <c r="BB214" s="76"/>
      <c r="BC214" s="76"/>
      <c r="BD214" s="76"/>
      <c r="BE214" s="80"/>
      <c r="BF214" s="79"/>
      <c r="BG214" s="76"/>
      <c r="BH214" s="76"/>
      <c r="BI214" s="76"/>
      <c r="BJ214" s="76"/>
      <c r="BK214" s="80"/>
      <c r="BM214" s="125">
        <f t="shared" si="600"/>
        <v>0</v>
      </c>
      <c r="BN214" s="126">
        <f t="shared" si="601"/>
        <v>0</v>
      </c>
      <c r="BO214" s="126">
        <f t="shared" si="602"/>
        <v>0</v>
      </c>
      <c r="BP214" s="126">
        <f t="shared" si="603"/>
        <v>2</v>
      </c>
      <c r="BQ214" s="126">
        <f>SUM(AT214:AY214)</f>
        <v>1</v>
      </c>
      <c r="BR214" s="126">
        <f t="shared" si="604"/>
        <v>0</v>
      </c>
      <c r="BS214" s="127">
        <f t="shared" si="605"/>
        <v>0</v>
      </c>
      <c r="BT214" s="74"/>
      <c r="BU214" s="125">
        <f t="shared" si="606"/>
        <v>0</v>
      </c>
      <c r="BV214" s="126">
        <f t="shared" si="607"/>
        <v>0</v>
      </c>
      <c r="BW214" s="126">
        <f t="shared" si="608"/>
        <v>0</v>
      </c>
      <c r="BX214" s="126">
        <f t="shared" si="609"/>
        <v>4</v>
      </c>
      <c r="BY214" s="126">
        <f t="shared" si="610"/>
        <v>2</v>
      </c>
      <c r="BZ214" s="126">
        <f t="shared" si="610"/>
        <v>0</v>
      </c>
      <c r="CA214" s="126">
        <f t="shared" si="610"/>
        <v>0</v>
      </c>
    </row>
    <row r="215" spans="1:79" ht="15.75">
      <c r="A215" s="152" t="str">
        <f t="shared" si="577"/>
        <v>P</v>
      </c>
      <c r="B215" s="153">
        <f t="shared" si="578"/>
        <v>70000</v>
      </c>
      <c r="C215" s="154" t="s">
        <v>190</v>
      </c>
      <c r="D215" s="155" t="s">
        <v>0</v>
      </c>
      <c r="E215" s="155" t="s">
        <v>0</v>
      </c>
      <c r="F215" s="156" t="s">
        <v>191</v>
      </c>
      <c r="G215" s="155" t="s">
        <v>165</v>
      </c>
      <c r="H215" s="155" t="s">
        <v>0</v>
      </c>
      <c r="I215" s="155" t="s">
        <v>0</v>
      </c>
      <c r="J215" s="157" t="s">
        <v>0</v>
      </c>
      <c r="K215" s="9">
        <v>3</v>
      </c>
      <c r="L215" s="8" t="s">
        <v>56</v>
      </c>
      <c r="M215" s="9">
        <v>6.25</v>
      </c>
      <c r="N215" s="9">
        <v>0</v>
      </c>
      <c r="O215" s="10">
        <v>6.25</v>
      </c>
      <c r="P215" s="111"/>
      <c r="Q215" s="112"/>
      <c r="R215" s="112">
        <f>SUMIFS(R216:R$415,$C216:$C$415,$C215)</f>
        <v>6.25</v>
      </c>
      <c r="S215" s="112">
        <f>SUMIFS(S216:S$415,$C216:$C$415,$C215)</f>
        <v>0</v>
      </c>
      <c r="T215" s="92">
        <f>R215/O215</f>
        <v>1</v>
      </c>
      <c r="V215" s="77"/>
      <c r="W215" s="75"/>
      <c r="X215" s="75"/>
      <c r="Y215" s="75"/>
      <c r="Z215" s="75"/>
      <c r="AA215" s="78"/>
      <c r="AB215" s="77"/>
      <c r="AC215" s="75"/>
      <c r="AD215" s="75"/>
      <c r="AE215" s="75"/>
      <c r="AF215" s="75"/>
      <c r="AG215" s="78"/>
      <c r="AH215" s="77"/>
      <c r="AI215" s="75"/>
      <c r="AJ215" s="75"/>
      <c r="AK215" s="75"/>
      <c r="AL215" s="75"/>
      <c r="AM215" s="78"/>
      <c r="AN215" s="77"/>
      <c r="AO215" s="75"/>
      <c r="AP215" s="75"/>
      <c r="AQ215" s="75"/>
      <c r="AR215" s="75"/>
      <c r="AS215" s="78"/>
      <c r="AT215" s="77"/>
      <c r="AU215" s="75"/>
      <c r="AV215" s="75"/>
      <c r="AW215" s="75"/>
      <c r="AX215" s="75"/>
      <c r="AY215" s="78"/>
      <c r="AZ215" s="77"/>
      <c r="BA215" s="75"/>
      <c r="BB215" s="75"/>
      <c r="BC215" s="75"/>
      <c r="BD215" s="75"/>
      <c r="BE215" s="78"/>
      <c r="BF215" s="77"/>
      <c r="BG215" s="75"/>
      <c r="BH215" s="75"/>
      <c r="BI215" s="75"/>
      <c r="BJ215" s="75"/>
      <c r="BK215" s="78"/>
      <c r="BM215" s="122"/>
      <c r="BN215" s="123"/>
      <c r="BO215" s="123"/>
      <c r="BP215" s="123"/>
      <c r="BQ215" s="123"/>
      <c r="BR215" s="123"/>
      <c r="BS215" s="124"/>
      <c r="BT215" s="74"/>
      <c r="BU215" s="122"/>
      <c r="BV215" s="123"/>
      <c r="BW215" s="123"/>
      <c r="BX215" s="123"/>
      <c r="BY215" s="123"/>
      <c r="BZ215" s="123"/>
      <c r="CA215" s="123"/>
    </row>
    <row r="216" spans="1:79">
      <c r="A216" s="147" t="str">
        <f t="shared" si="577"/>
        <v>D</v>
      </c>
      <c r="B216" s="148">
        <f t="shared" si="578"/>
        <v>70000</v>
      </c>
      <c r="C216" s="149" t="s">
        <v>190</v>
      </c>
      <c r="D216" s="150" t="s">
        <v>0</v>
      </c>
      <c r="E216" s="150" t="s">
        <v>0</v>
      </c>
      <c r="F216" s="145" t="s">
        <v>176</v>
      </c>
      <c r="G216" s="150" t="s">
        <v>165</v>
      </c>
      <c r="H216" s="150" t="s">
        <v>0</v>
      </c>
      <c r="I216" s="150" t="s">
        <v>0</v>
      </c>
      <c r="J216" s="151" t="s">
        <v>0</v>
      </c>
      <c r="K216" s="13">
        <v>3</v>
      </c>
      <c r="L216" s="12" t="s">
        <v>56</v>
      </c>
      <c r="M216" s="13">
        <v>0.75</v>
      </c>
      <c r="N216" s="13">
        <v>0</v>
      </c>
      <c r="O216" s="14">
        <v>0.75</v>
      </c>
      <c r="P216" s="113">
        <f t="shared" ref="P216:P218" si="611">SUM(BM216:BS216)</f>
        <v>3</v>
      </c>
      <c r="Q216" s="114">
        <f t="shared" ref="Q216:Q218" si="612">K216-P216</f>
        <v>0</v>
      </c>
      <c r="R216" s="114">
        <f t="shared" ref="R216:R218" si="613">SUM(BU216:CA216)</f>
        <v>0.75</v>
      </c>
      <c r="S216" s="114">
        <f t="shared" ref="S216:S218" si="614">O216-R216</f>
        <v>0</v>
      </c>
      <c r="T216" s="93">
        <f t="shared" ref="T216:T218" si="615">R216/O216</f>
        <v>1</v>
      </c>
      <c r="U216" t="s">
        <v>0</v>
      </c>
      <c r="V216" s="79"/>
      <c r="W216" s="76"/>
      <c r="X216" s="76"/>
      <c r="Y216" s="76"/>
      <c r="Z216" s="76"/>
      <c r="AA216" s="80"/>
      <c r="AB216" s="79"/>
      <c r="AC216" s="76"/>
      <c r="AD216" s="76"/>
      <c r="AE216" s="76"/>
      <c r="AF216" s="76"/>
      <c r="AG216" s="80"/>
      <c r="AH216" s="79"/>
      <c r="AI216" s="76"/>
      <c r="AJ216" s="76"/>
      <c r="AK216" s="76"/>
      <c r="AL216" s="76"/>
      <c r="AM216" s="80"/>
      <c r="AN216" s="79"/>
      <c r="AO216" s="76"/>
      <c r="AP216" s="76"/>
      <c r="AQ216" s="76"/>
      <c r="AR216" s="76"/>
      <c r="AS216" s="80">
        <v>2</v>
      </c>
      <c r="AT216" s="79"/>
      <c r="AU216" s="76"/>
      <c r="AV216" s="76"/>
      <c r="AW216" s="76"/>
      <c r="AX216" s="76"/>
      <c r="AY216" s="80">
        <v>1</v>
      </c>
      <c r="AZ216" s="79"/>
      <c r="BA216" s="76"/>
      <c r="BB216" s="76"/>
      <c r="BC216" s="76"/>
      <c r="BD216" s="76"/>
      <c r="BE216" s="80"/>
      <c r="BF216" s="79"/>
      <c r="BG216" s="76"/>
      <c r="BH216" s="76"/>
      <c r="BI216" s="76"/>
      <c r="BJ216" s="76"/>
      <c r="BK216" s="80"/>
      <c r="BM216" s="125">
        <f t="shared" ref="BM216:BM218" si="616">SUM(V216:AA216)</f>
        <v>0</v>
      </c>
      <c r="BN216" s="126">
        <f t="shared" ref="BN216:BN218" si="617">SUM(AB216:AG216)</f>
        <v>0</v>
      </c>
      <c r="BO216" s="126">
        <f t="shared" ref="BO216:BO218" si="618">SUM(AH216:AM216)</f>
        <v>0</v>
      </c>
      <c r="BP216" s="126">
        <f t="shared" ref="BP216:BP218" si="619">SUM(AN216:AS216)</f>
        <v>2</v>
      </c>
      <c r="BQ216" s="126">
        <f>SUM(AT216:AY216)</f>
        <v>1</v>
      </c>
      <c r="BR216" s="126">
        <f t="shared" ref="BR216:BS218" si="620">SUM(AZ216:BE216)</f>
        <v>0</v>
      </c>
      <c r="BS216" s="127">
        <f t="shared" ref="BS216:BS218" si="621">SUM(BF216:BK216)</f>
        <v>0</v>
      </c>
      <c r="BT216" s="74"/>
      <c r="BU216" s="125">
        <f t="shared" ref="BU216:BU218" si="622">(BM216/$K216)*$O216</f>
        <v>0</v>
      </c>
      <c r="BV216" s="126">
        <f t="shared" ref="BV216:BV218" si="623">(BN216/$K216)*$O216</f>
        <v>0</v>
      </c>
      <c r="BW216" s="126">
        <f t="shared" ref="BW216:BW218" si="624">(BO216/$K216)*$O216</f>
        <v>0</v>
      </c>
      <c r="BX216" s="126">
        <f t="shared" ref="BX216:BX218" si="625">(BP216/$K216)*$O216</f>
        <v>0.5</v>
      </c>
      <c r="BY216" s="126">
        <f t="shared" ref="BY216:CA218" si="626">(BQ216/$K216)*$O216</f>
        <v>0.25</v>
      </c>
      <c r="BZ216" s="126">
        <f t="shared" si="626"/>
        <v>0</v>
      </c>
      <c r="CA216" s="126">
        <f t="shared" si="626"/>
        <v>0</v>
      </c>
    </row>
    <row r="217" spans="1:79">
      <c r="A217" s="147" t="str">
        <f t="shared" si="577"/>
        <v>D</v>
      </c>
      <c r="B217" s="148">
        <f t="shared" si="578"/>
        <v>70000</v>
      </c>
      <c r="C217" s="149" t="s">
        <v>190</v>
      </c>
      <c r="D217" s="150" t="s">
        <v>0</v>
      </c>
      <c r="E217" s="150" t="s">
        <v>0</v>
      </c>
      <c r="F217" s="145" t="s">
        <v>178</v>
      </c>
      <c r="G217" s="150" t="s">
        <v>165</v>
      </c>
      <c r="H217" s="150" t="s">
        <v>0</v>
      </c>
      <c r="I217" s="150" t="s">
        <v>0</v>
      </c>
      <c r="J217" s="151" t="s">
        <v>0</v>
      </c>
      <c r="K217" s="13">
        <v>1</v>
      </c>
      <c r="L217" s="12" t="s">
        <v>32</v>
      </c>
      <c r="M217" s="13">
        <v>1.75</v>
      </c>
      <c r="N217" s="13">
        <v>0</v>
      </c>
      <c r="O217" s="14">
        <v>1.75</v>
      </c>
      <c r="P217" s="113">
        <f t="shared" si="611"/>
        <v>1</v>
      </c>
      <c r="Q217" s="114">
        <f t="shared" si="612"/>
        <v>0</v>
      </c>
      <c r="R217" s="114">
        <f t="shared" si="613"/>
        <v>1.75</v>
      </c>
      <c r="S217" s="114">
        <f t="shared" si="614"/>
        <v>0</v>
      </c>
      <c r="T217" s="93">
        <f t="shared" si="615"/>
        <v>1</v>
      </c>
      <c r="U217" t="s">
        <v>0</v>
      </c>
      <c r="V217" s="79"/>
      <c r="W217" s="76"/>
      <c r="X217" s="76"/>
      <c r="Y217" s="76"/>
      <c r="Z217" s="76"/>
      <c r="AA217" s="80"/>
      <c r="AB217" s="79"/>
      <c r="AC217" s="76"/>
      <c r="AD217" s="76"/>
      <c r="AE217" s="76"/>
      <c r="AF217" s="76"/>
      <c r="AG217" s="80"/>
      <c r="AH217" s="79"/>
      <c r="AI217" s="76"/>
      <c r="AJ217" s="76"/>
      <c r="AK217" s="76"/>
      <c r="AL217" s="76"/>
      <c r="AM217" s="80"/>
      <c r="AN217" s="79"/>
      <c r="AO217" s="76"/>
      <c r="AP217" s="76"/>
      <c r="AQ217" s="76"/>
      <c r="AR217" s="76"/>
      <c r="AS217" s="80">
        <v>0.5</v>
      </c>
      <c r="AT217" s="79"/>
      <c r="AU217" s="76"/>
      <c r="AV217" s="76"/>
      <c r="AW217" s="76"/>
      <c r="AX217" s="76"/>
      <c r="AY217" s="80">
        <v>0.5</v>
      </c>
      <c r="AZ217" s="79"/>
      <c r="BA217" s="76"/>
      <c r="BB217" s="76"/>
      <c r="BC217" s="76"/>
      <c r="BD217" s="76"/>
      <c r="BE217" s="80"/>
      <c r="BF217" s="79"/>
      <c r="BG217" s="76"/>
      <c r="BH217" s="76"/>
      <c r="BI217" s="76"/>
      <c r="BJ217" s="76"/>
      <c r="BK217" s="80"/>
      <c r="BM217" s="125">
        <f t="shared" si="616"/>
        <v>0</v>
      </c>
      <c r="BN217" s="126">
        <f t="shared" si="617"/>
        <v>0</v>
      </c>
      <c r="BO217" s="126">
        <f t="shared" si="618"/>
        <v>0</v>
      </c>
      <c r="BP217" s="126">
        <f t="shared" si="619"/>
        <v>0.5</v>
      </c>
      <c r="BQ217" s="126">
        <f>SUM(AT217:AY217)</f>
        <v>0.5</v>
      </c>
      <c r="BR217" s="126">
        <f t="shared" si="620"/>
        <v>0</v>
      </c>
      <c r="BS217" s="127">
        <f t="shared" si="621"/>
        <v>0</v>
      </c>
      <c r="BT217" s="74"/>
      <c r="BU217" s="125">
        <f t="shared" si="622"/>
        <v>0</v>
      </c>
      <c r="BV217" s="126">
        <f t="shared" si="623"/>
        <v>0</v>
      </c>
      <c r="BW217" s="126">
        <f t="shared" si="624"/>
        <v>0</v>
      </c>
      <c r="BX217" s="126">
        <f t="shared" si="625"/>
        <v>0.875</v>
      </c>
      <c r="BY217" s="126">
        <f t="shared" si="626"/>
        <v>0.875</v>
      </c>
      <c r="BZ217" s="126">
        <f t="shared" si="626"/>
        <v>0</v>
      </c>
      <c r="CA217" s="126">
        <f t="shared" si="626"/>
        <v>0</v>
      </c>
    </row>
    <row r="218" spans="1:79">
      <c r="A218" s="147" t="str">
        <f t="shared" si="577"/>
        <v>D</v>
      </c>
      <c r="B218" s="148">
        <f t="shared" si="578"/>
        <v>70000</v>
      </c>
      <c r="C218" s="149" t="s">
        <v>190</v>
      </c>
      <c r="D218" s="150" t="s">
        <v>0</v>
      </c>
      <c r="E218" s="150" t="s">
        <v>0</v>
      </c>
      <c r="F218" s="145" t="s">
        <v>180</v>
      </c>
      <c r="G218" s="150" t="s">
        <v>165</v>
      </c>
      <c r="H218" s="150" t="s">
        <v>0</v>
      </c>
      <c r="I218" s="150" t="s">
        <v>0</v>
      </c>
      <c r="J218" s="151" t="s">
        <v>0</v>
      </c>
      <c r="K218" s="13">
        <v>3</v>
      </c>
      <c r="L218" s="12" t="s">
        <v>32</v>
      </c>
      <c r="M218" s="13">
        <v>3.75</v>
      </c>
      <c r="N218" s="13">
        <v>0</v>
      </c>
      <c r="O218" s="14">
        <v>3.75</v>
      </c>
      <c r="P218" s="113">
        <f t="shared" si="611"/>
        <v>3</v>
      </c>
      <c r="Q218" s="114">
        <f t="shared" si="612"/>
        <v>0</v>
      </c>
      <c r="R218" s="114">
        <f t="shared" si="613"/>
        <v>3.75</v>
      </c>
      <c r="S218" s="114">
        <f t="shared" si="614"/>
        <v>0</v>
      </c>
      <c r="T218" s="93">
        <f t="shared" si="615"/>
        <v>1</v>
      </c>
      <c r="U218" t="s">
        <v>0</v>
      </c>
      <c r="V218" s="79"/>
      <c r="W218" s="76"/>
      <c r="X218" s="76"/>
      <c r="Y218" s="76"/>
      <c r="Z218" s="76"/>
      <c r="AA218" s="80"/>
      <c r="AB218" s="79"/>
      <c r="AC218" s="76"/>
      <c r="AD218" s="76"/>
      <c r="AE218" s="76"/>
      <c r="AF218" s="76"/>
      <c r="AG218" s="80"/>
      <c r="AH218" s="79"/>
      <c r="AI218" s="76"/>
      <c r="AJ218" s="76"/>
      <c r="AK218" s="76"/>
      <c r="AL218" s="76"/>
      <c r="AM218" s="80"/>
      <c r="AN218" s="79"/>
      <c r="AO218" s="76"/>
      <c r="AP218" s="76"/>
      <c r="AQ218" s="76"/>
      <c r="AR218" s="76"/>
      <c r="AS218" s="80">
        <v>2</v>
      </c>
      <c r="AT218" s="79"/>
      <c r="AU218" s="76"/>
      <c r="AV218" s="76"/>
      <c r="AW218" s="76"/>
      <c r="AX218" s="76"/>
      <c r="AY218" s="80">
        <v>1</v>
      </c>
      <c r="AZ218" s="79"/>
      <c r="BA218" s="76"/>
      <c r="BB218" s="76"/>
      <c r="BC218" s="76"/>
      <c r="BD218" s="76"/>
      <c r="BE218" s="80"/>
      <c r="BF218" s="79"/>
      <c r="BG218" s="76"/>
      <c r="BH218" s="76"/>
      <c r="BI218" s="76"/>
      <c r="BJ218" s="76"/>
      <c r="BK218" s="80"/>
      <c r="BM218" s="125">
        <f t="shared" si="616"/>
        <v>0</v>
      </c>
      <c r="BN218" s="126">
        <f t="shared" si="617"/>
        <v>0</v>
      </c>
      <c r="BO218" s="126">
        <f t="shared" si="618"/>
        <v>0</v>
      </c>
      <c r="BP218" s="126">
        <f t="shared" si="619"/>
        <v>2</v>
      </c>
      <c r="BQ218" s="126">
        <f>SUM(AT218:AY218)</f>
        <v>1</v>
      </c>
      <c r="BR218" s="126">
        <f t="shared" si="620"/>
        <v>0</v>
      </c>
      <c r="BS218" s="127">
        <f t="shared" si="621"/>
        <v>0</v>
      </c>
      <c r="BT218" s="74"/>
      <c r="BU218" s="125">
        <f t="shared" si="622"/>
        <v>0</v>
      </c>
      <c r="BV218" s="126">
        <f t="shared" si="623"/>
        <v>0</v>
      </c>
      <c r="BW218" s="126">
        <f t="shared" si="624"/>
        <v>0</v>
      </c>
      <c r="BX218" s="126">
        <f t="shared" si="625"/>
        <v>2.5</v>
      </c>
      <c r="BY218" s="126">
        <f t="shared" si="626"/>
        <v>1.25</v>
      </c>
      <c r="BZ218" s="126">
        <f t="shared" si="626"/>
        <v>0</v>
      </c>
      <c r="CA218" s="126">
        <f t="shared" si="626"/>
        <v>0</v>
      </c>
    </row>
    <row r="219" spans="1:79" ht="15.75">
      <c r="A219" s="152" t="str">
        <f t="shared" si="577"/>
        <v>P</v>
      </c>
      <c r="B219" s="153">
        <f t="shared" si="578"/>
        <v>70000</v>
      </c>
      <c r="C219" s="154" t="s">
        <v>192</v>
      </c>
      <c r="D219" s="155" t="s">
        <v>0</v>
      </c>
      <c r="E219" s="155" t="s">
        <v>0</v>
      </c>
      <c r="F219" s="156" t="s">
        <v>193</v>
      </c>
      <c r="G219" s="155" t="s">
        <v>165</v>
      </c>
      <c r="H219" s="155" t="s">
        <v>0</v>
      </c>
      <c r="I219" s="155" t="s">
        <v>0</v>
      </c>
      <c r="J219" s="157" t="s">
        <v>0</v>
      </c>
      <c r="K219" s="9">
        <v>32</v>
      </c>
      <c r="L219" s="8" t="s">
        <v>56</v>
      </c>
      <c r="M219" s="9">
        <v>21.4</v>
      </c>
      <c r="N219" s="9">
        <v>2.65</v>
      </c>
      <c r="O219" s="10">
        <v>24.05</v>
      </c>
      <c r="P219" s="111"/>
      <c r="Q219" s="112"/>
      <c r="R219" s="112">
        <f>SUMIFS(R220:R$415,$C220:$C$415,$C219)</f>
        <v>16.875</v>
      </c>
      <c r="S219" s="112">
        <f>SUMIFS(S220:S$415,$C220:$C$415,$C219)</f>
        <v>7.1749999999999998</v>
      </c>
      <c r="T219" s="92">
        <f>R219/O219</f>
        <v>0.70166320166320162</v>
      </c>
      <c r="V219" s="77"/>
      <c r="W219" s="75"/>
      <c r="X219" s="75"/>
      <c r="Y219" s="75"/>
      <c r="Z219" s="75"/>
      <c r="AA219" s="78"/>
      <c r="AB219" s="77"/>
      <c r="AC219" s="75"/>
      <c r="AD219" s="75"/>
      <c r="AE219" s="75"/>
      <c r="AF219" s="75"/>
      <c r="AG219" s="78"/>
      <c r="AH219" s="77"/>
      <c r="AI219" s="75"/>
      <c r="AJ219" s="75"/>
      <c r="AK219" s="75"/>
      <c r="AL219" s="75"/>
      <c r="AM219" s="78"/>
      <c r="AN219" s="77"/>
      <c r="AO219" s="75"/>
      <c r="AP219" s="75"/>
      <c r="AQ219" s="75"/>
      <c r="AR219" s="75"/>
      <c r="AS219" s="78"/>
      <c r="AT219" s="77"/>
      <c r="AU219" s="75"/>
      <c r="AV219" s="75"/>
      <c r="AW219" s="75"/>
      <c r="AX219" s="75"/>
      <c r="AY219" s="78"/>
      <c r="AZ219" s="77"/>
      <c r="BA219" s="75"/>
      <c r="BB219" s="75"/>
      <c r="BC219" s="75"/>
      <c r="BD219" s="75"/>
      <c r="BE219" s="78"/>
      <c r="BF219" s="77"/>
      <c r="BG219" s="75"/>
      <c r="BH219" s="75"/>
      <c r="BI219" s="75"/>
      <c r="BJ219" s="75"/>
      <c r="BK219" s="78"/>
      <c r="BM219" s="122"/>
      <c r="BN219" s="123"/>
      <c r="BO219" s="123"/>
      <c r="BP219" s="123"/>
      <c r="BQ219" s="123"/>
      <c r="BR219" s="123"/>
      <c r="BS219" s="124"/>
      <c r="BT219" s="74"/>
      <c r="BU219" s="122"/>
      <c r="BV219" s="123"/>
      <c r="BW219" s="123"/>
      <c r="BX219" s="123"/>
      <c r="BY219" s="123"/>
      <c r="BZ219" s="123"/>
      <c r="CA219" s="123"/>
    </row>
    <row r="220" spans="1:79">
      <c r="A220" s="147" t="str">
        <f t="shared" si="577"/>
        <v>D</v>
      </c>
      <c r="B220" s="148">
        <f t="shared" si="578"/>
        <v>70000</v>
      </c>
      <c r="C220" s="149" t="s">
        <v>192</v>
      </c>
      <c r="D220" s="150" t="s">
        <v>0</v>
      </c>
      <c r="E220" s="150" t="s">
        <v>0</v>
      </c>
      <c r="F220" s="145" t="s">
        <v>176</v>
      </c>
      <c r="G220" s="150" t="s">
        <v>165</v>
      </c>
      <c r="H220" s="150" t="s">
        <v>0</v>
      </c>
      <c r="I220" s="150" t="s">
        <v>0</v>
      </c>
      <c r="J220" s="151" t="s">
        <v>0</v>
      </c>
      <c r="K220" s="13">
        <v>32</v>
      </c>
      <c r="L220" s="12" t="s">
        <v>56</v>
      </c>
      <c r="M220" s="13">
        <v>8</v>
      </c>
      <c r="N220" s="13">
        <v>0</v>
      </c>
      <c r="O220" s="14">
        <v>8</v>
      </c>
      <c r="P220" s="113">
        <f t="shared" ref="P220:P226" si="627">SUM(BM220:BS220)</f>
        <v>30</v>
      </c>
      <c r="Q220" s="114">
        <f t="shared" ref="Q220:Q226" si="628">K220-P220</f>
        <v>2</v>
      </c>
      <c r="R220" s="114">
        <f t="shared" ref="R220:R226" si="629">SUM(BU220:CA220)</f>
        <v>7.5</v>
      </c>
      <c r="S220" s="114">
        <f t="shared" ref="S220:S226" si="630">O220-R220</f>
        <v>0.5</v>
      </c>
      <c r="T220" s="93">
        <f t="shared" ref="T220:T226" si="631">R220/O220</f>
        <v>0.9375</v>
      </c>
      <c r="U220" t="s">
        <v>0</v>
      </c>
      <c r="V220" s="79"/>
      <c r="W220" s="76"/>
      <c r="X220" s="76"/>
      <c r="Y220" s="76"/>
      <c r="Z220" s="76"/>
      <c r="AA220" s="80"/>
      <c r="AB220" s="79"/>
      <c r="AC220" s="76"/>
      <c r="AD220" s="76"/>
      <c r="AE220" s="76"/>
      <c r="AF220" s="76"/>
      <c r="AG220" s="80"/>
      <c r="AH220" s="79"/>
      <c r="AI220" s="76"/>
      <c r="AJ220" s="76"/>
      <c r="AK220" s="76"/>
      <c r="AL220" s="76"/>
      <c r="AM220" s="80"/>
      <c r="AN220" s="79"/>
      <c r="AO220" s="76"/>
      <c r="AP220" s="76"/>
      <c r="AQ220" s="76"/>
      <c r="AR220" s="76"/>
      <c r="AS220" s="80">
        <v>30</v>
      </c>
      <c r="AT220" s="79"/>
      <c r="AU220" s="76"/>
      <c r="AV220" s="76"/>
      <c r="AW220" s="76"/>
      <c r="AX220" s="76"/>
      <c r="AY220" s="80"/>
      <c r="AZ220" s="79"/>
      <c r="BA220" s="76"/>
      <c r="BB220" s="76"/>
      <c r="BC220" s="76"/>
      <c r="BD220" s="76"/>
      <c r="BE220" s="80"/>
      <c r="BF220" s="79"/>
      <c r="BG220" s="76"/>
      <c r="BH220" s="76"/>
      <c r="BI220" s="76"/>
      <c r="BJ220" s="76"/>
      <c r="BK220" s="80"/>
      <c r="BM220" s="125">
        <f t="shared" ref="BM220:BM226" si="632">SUM(V220:AA220)</f>
        <v>0</v>
      </c>
      <c r="BN220" s="126">
        <f t="shared" ref="BN220:BN226" si="633">SUM(AB220:AG220)</f>
        <v>0</v>
      </c>
      <c r="BO220" s="126">
        <f t="shared" ref="BO220:BO226" si="634">SUM(AH220:AM220)</f>
        <v>0</v>
      </c>
      <c r="BP220" s="126">
        <f t="shared" ref="BP220:BP226" si="635">SUM(AN220:AS220)</f>
        <v>30</v>
      </c>
      <c r="BQ220" s="126">
        <f>SUM(AT220:AY220)</f>
        <v>0</v>
      </c>
      <c r="BR220" s="126">
        <f t="shared" ref="BR220:BS226" si="636">SUM(AZ220:BE220)</f>
        <v>0</v>
      </c>
      <c r="BS220" s="127">
        <f t="shared" ref="BS220:BS226" si="637">SUM(BF220:BK220)</f>
        <v>0</v>
      </c>
      <c r="BT220" s="74"/>
      <c r="BU220" s="125">
        <f t="shared" ref="BU220:BU226" si="638">(BM220/$K220)*$O220</f>
        <v>0</v>
      </c>
      <c r="BV220" s="126">
        <f t="shared" ref="BV220:BV226" si="639">(BN220/$K220)*$O220</f>
        <v>0</v>
      </c>
      <c r="BW220" s="126">
        <f t="shared" ref="BW220:BW226" si="640">(BO220/$K220)*$O220</f>
        <v>0</v>
      </c>
      <c r="BX220" s="126">
        <f t="shared" ref="BX220:BX226" si="641">(BP220/$K220)*$O220</f>
        <v>7.5</v>
      </c>
      <c r="BY220" s="126">
        <f t="shared" ref="BY220:CA226" si="642">(BQ220/$K220)*$O220</f>
        <v>0</v>
      </c>
      <c r="BZ220" s="126">
        <f t="shared" si="642"/>
        <v>0</v>
      </c>
      <c r="CA220" s="126">
        <f t="shared" si="642"/>
        <v>0</v>
      </c>
    </row>
    <row r="221" spans="1:79">
      <c r="A221" s="147" t="str">
        <f t="shared" si="577"/>
        <v>D</v>
      </c>
      <c r="B221" s="148">
        <f t="shared" si="578"/>
        <v>70000</v>
      </c>
      <c r="C221" s="149" t="s">
        <v>192</v>
      </c>
      <c r="D221" s="150" t="s">
        <v>0</v>
      </c>
      <c r="E221" s="150" t="s">
        <v>0</v>
      </c>
      <c r="F221" s="145" t="s">
        <v>177</v>
      </c>
      <c r="G221" s="150" t="s">
        <v>165</v>
      </c>
      <c r="H221" s="150" t="s">
        <v>0</v>
      </c>
      <c r="I221" s="150" t="s">
        <v>0</v>
      </c>
      <c r="J221" s="151" t="s">
        <v>0</v>
      </c>
      <c r="K221" s="13">
        <v>1</v>
      </c>
      <c r="L221" s="12" t="s">
        <v>32</v>
      </c>
      <c r="M221" s="13">
        <v>2.2999999999999998</v>
      </c>
      <c r="N221" s="13">
        <v>2.65</v>
      </c>
      <c r="O221" s="14">
        <v>4.95</v>
      </c>
      <c r="P221" s="113">
        <f t="shared" si="627"/>
        <v>0.5</v>
      </c>
      <c r="Q221" s="114">
        <f t="shared" si="628"/>
        <v>0.5</v>
      </c>
      <c r="R221" s="114">
        <f t="shared" si="629"/>
        <v>2.4750000000000001</v>
      </c>
      <c r="S221" s="114">
        <f t="shared" si="630"/>
        <v>2.4750000000000001</v>
      </c>
      <c r="T221" s="93">
        <f t="shared" si="631"/>
        <v>0.5</v>
      </c>
      <c r="U221" t="s">
        <v>0</v>
      </c>
      <c r="V221" s="79"/>
      <c r="W221" s="76"/>
      <c r="X221" s="76"/>
      <c r="Y221" s="76"/>
      <c r="Z221" s="76"/>
      <c r="AA221" s="80"/>
      <c r="AB221" s="79"/>
      <c r="AC221" s="76"/>
      <c r="AD221" s="76"/>
      <c r="AE221" s="76"/>
      <c r="AF221" s="76"/>
      <c r="AG221" s="80"/>
      <c r="AH221" s="79"/>
      <c r="AI221" s="76"/>
      <c r="AJ221" s="76"/>
      <c r="AK221" s="76"/>
      <c r="AL221" s="76"/>
      <c r="AM221" s="80"/>
      <c r="AN221" s="79"/>
      <c r="AO221" s="76"/>
      <c r="AP221" s="76"/>
      <c r="AQ221" s="76"/>
      <c r="AR221" s="76"/>
      <c r="AS221" s="80">
        <v>0.5</v>
      </c>
      <c r="AT221" s="79"/>
      <c r="AU221" s="76"/>
      <c r="AV221" s="76"/>
      <c r="AW221" s="76"/>
      <c r="AX221" s="76"/>
      <c r="AY221" s="80"/>
      <c r="AZ221" s="79"/>
      <c r="BA221" s="76"/>
      <c r="BB221" s="76"/>
      <c r="BC221" s="76"/>
      <c r="BD221" s="76"/>
      <c r="BE221" s="80"/>
      <c r="BF221" s="79"/>
      <c r="BG221" s="76"/>
      <c r="BH221" s="76"/>
      <c r="BI221" s="76"/>
      <c r="BJ221" s="76"/>
      <c r="BK221" s="80"/>
      <c r="BM221" s="125">
        <f t="shared" si="632"/>
        <v>0</v>
      </c>
      <c r="BN221" s="126">
        <f t="shared" si="633"/>
        <v>0</v>
      </c>
      <c r="BO221" s="126">
        <f t="shared" si="634"/>
        <v>0</v>
      </c>
      <c r="BP221" s="126">
        <f t="shared" si="635"/>
        <v>0.5</v>
      </c>
      <c r="BQ221" s="126">
        <f>SUM(AT221:AY221)</f>
        <v>0</v>
      </c>
      <c r="BR221" s="126">
        <f t="shared" si="636"/>
        <v>0</v>
      </c>
      <c r="BS221" s="127">
        <f t="shared" si="637"/>
        <v>0</v>
      </c>
      <c r="BT221" s="74"/>
      <c r="BU221" s="125">
        <f t="shared" si="638"/>
        <v>0</v>
      </c>
      <c r="BV221" s="126">
        <f t="shared" si="639"/>
        <v>0</v>
      </c>
      <c r="BW221" s="126">
        <f t="shared" si="640"/>
        <v>0</v>
      </c>
      <c r="BX221" s="126">
        <f t="shared" si="641"/>
        <v>2.4750000000000001</v>
      </c>
      <c r="BY221" s="126">
        <f t="shared" si="642"/>
        <v>0</v>
      </c>
      <c r="BZ221" s="126">
        <f t="shared" si="642"/>
        <v>0</v>
      </c>
      <c r="CA221" s="126">
        <f t="shared" si="642"/>
        <v>0</v>
      </c>
    </row>
    <row r="222" spans="1:79">
      <c r="A222" s="147" t="str">
        <f t="shared" si="577"/>
        <v>D</v>
      </c>
      <c r="B222" s="148">
        <f t="shared" si="578"/>
        <v>70000</v>
      </c>
      <c r="C222" s="149" t="s">
        <v>192</v>
      </c>
      <c r="D222" s="150" t="s">
        <v>0</v>
      </c>
      <c r="E222" s="150" t="s">
        <v>0</v>
      </c>
      <c r="F222" s="145" t="s">
        <v>178</v>
      </c>
      <c r="G222" s="150" t="s">
        <v>165</v>
      </c>
      <c r="H222" s="150" t="s">
        <v>0</v>
      </c>
      <c r="I222" s="150" t="s">
        <v>0</v>
      </c>
      <c r="J222" s="151" t="s">
        <v>0</v>
      </c>
      <c r="K222" s="13">
        <v>1</v>
      </c>
      <c r="L222" s="12" t="s">
        <v>32</v>
      </c>
      <c r="M222" s="13">
        <v>1.75</v>
      </c>
      <c r="N222" s="13">
        <v>0</v>
      </c>
      <c r="O222" s="14">
        <v>1.75</v>
      </c>
      <c r="P222" s="113">
        <f t="shared" si="627"/>
        <v>0.5</v>
      </c>
      <c r="Q222" s="114">
        <f t="shared" si="628"/>
        <v>0.5</v>
      </c>
      <c r="R222" s="114">
        <f t="shared" si="629"/>
        <v>0.875</v>
      </c>
      <c r="S222" s="114">
        <f t="shared" si="630"/>
        <v>0.875</v>
      </c>
      <c r="T222" s="93">
        <f t="shared" si="631"/>
        <v>0.5</v>
      </c>
      <c r="U222" t="s">
        <v>0</v>
      </c>
      <c r="V222" s="79"/>
      <c r="W222" s="76"/>
      <c r="X222" s="76"/>
      <c r="Y222" s="76"/>
      <c r="Z222" s="76"/>
      <c r="AA222" s="80"/>
      <c r="AB222" s="79"/>
      <c r="AC222" s="76"/>
      <c r="AD222" s="76"/>
      <c r="AE222" s="76"/>
      <c r="AF222" s="76"/>
      <c r="AG222" s="80"/>
      <c r="AH222" s="79"/>
      <c r="AI222" s="76"/>
      <c r="AJ222" s="76"/>
      <c r="AK222" s="76"/>
      <c r="AL222" s="76"/>
      <c r="AM222" s="80"/>
      <c r="AN222" s="79"/>
      <c r="AO222" s="76"/>
      <c r="AP222" s="76"/>
      <c r="AQ222" s="76"/>
      <c r="AR222" s="76"/>
      <c r="AS222" s="80">
        <v>0.5</v>
      </c>
      <c r="AT222" s="79"/>
      <c r="AU222" s="76"/>
      <c r="AV222" s="76"/>
      <c r="AW222" s="76"/>
      <c r="AX222" s="76"/>
      <c r="AY222" s="80"/>
      <c r="AZ222" s="79"/>
      <c r="BA222" s="76"/>
      <c r="BB222" s="76"/>
      <c r="BC222" s="76"/>
      <c r="BD222" s="76"/>
      <c r="BE222" s="80"/>
      <c r="BF222" s="79"/>
      <c r="BG222" s="76"/>
      <c r="BH222" s="76"/>
      <c r="BI222" s="76"/>
      <c r="BJ222" s="76"/>
      <c r="BK222" s="80"/>
      <c r="BM222" s="125">
        <f t="shared" si="632"/>
        <v>0</v>
      </c>
      <c r="BN222" s="126">
        <f t="shared" si="633"/>
        <v>0</v>
      </c>
      <c r="BO222" s="126">
        <f t="shared" si="634"/>
        <v>0</v>
      </c>
      <c r="BP222" s="126">
        <f t="shared" si="635"/>
        <v>0.5</v>
      </c>
      <c r="BQ222" s="126">
        <f>SUM(AT222:AY222)</f>
        <v>0</v>
      </c>
      <c r="BR222" s="126">
        <f t="shared" si="636"/>
        <v>0</v>
      </c>
      <c r="BS222" s="127">
        <f t="shared" si="637"/>
        <v>0</v>
      </c>
      <c r="BT222" s="74"/>
      <c r="BU222" s="125">
        <f t="shared" si="638"/>
        <v>0</v>
      </c>
      <c r="BV222" s="126">
        <f t="shared" si="639"/>
        <v>0</v>
      </c>
      <c r="BW222" s="126">
        <f t="shared" si="640"/>
        <v>0</v>
      </c>
      <c r="BX222" s="126">
        <f t="shared" si="641"/>
        <v>0.875</v>
      </c>
      <c r="BY222" s="126">
        <f t="shared" si="642"/>
        <v>0</v>
      </c>
      <c r="BZ222" s="126">
        <f t="shared" si="642"/>
        <v>0</v>
      </c>
      <c r="CA222" s="126">
        <f t="shared" si="642"/>
        <v>0</v>
      </c>
    </row>
    <row r="223" spans="1:79">
      <c r="A223" s="147" t="str">
        <f t="shared" si="577"/>
        <v>D</v>
      </c>
      <c r="B223" s="148">
        <f t="shared" si="578"/>
        <v>70000</v>
      </c>
      <c r="C223" s="149" t="s">
        <v>192</v>
      </c>
      <c r="D223" s="150" t="s">
        <v>0</v>
      </c>
      <c r="E223" s="150" t="s">
        <v>0</v>
      </c>
      <c r="F223" s="145" t="s">
        <v>194</v>
      </c>
      <c r="G223" s="150" t="s">
        <v>165</v>
      </c>
      <c r="H223" s="150" t="s">
        <v>0</v>
      </c>
      <c r="I223" s="150" t="s">
        <v>0</v>
      </c>
      <c r="J223" s="151" t="s">
        <v>0</v>
      </c>
      <c r="K223" s="13">
        <v>3</v>
      </c>
      <c r="L223" s="12" t="s">
        <v>32</v>
      </c>
      <c r="M223" s="13">
        <v>1.5</v>
      </c>
      <c r="N223" s="13">
        <v>0</v>
      </c>
      <c r="O223" s="14">
        <v>1.5</v>
      </c>
      <c r="P223" s="113">
        <f t="shared" si="627"/>
        <v>2</v>
      </c>
      <c r="Q223" s="114">
        <f t="shared" si="628"/>
        <v>1</v>
      </c>
      <c r="R223" s="114">
        <f t="shared" si="629"/>
        <v>1</v>
      </c>
      <c r="S223" s="114">
        <f t="shared" si="630"/>
        <v>0.5</v>
      </c>
      <c r="T223" s="93">
        <f t="shared" si="631"/>
        <v>0.66666666666666663</v>
      </c>
      <c r="U223" t="s">
        <v>0</v>
      </c>
      <c r="V223" s="79"/>
      <c r="W223" s="76"/>
      <c r="X223" s="76"/>
      <c r="Y223" s="76"/>
      <c r="Z223" s="76"/>
      <c r="AA223" s="80"/>
      <c r="AB223" s="79"/>
      <c r="AC223" s="76"/>
      <c r="AD223" s="76"/>
      <c r="AE223" s="76"/>
      <c r="AF223" s="76"/>
      <c r="AG223" s="80"/>
      <c r="AH223" s="79"/>
      <c r="AI223" s="76"/>
      <c r="AJ223" s="76"/>
      <c r="AK223" s="76"/>
      <c r="AL223" s="76"/>
      <c r="AM223" s="80"/>
      <c r="AN223" s="79"/>
      <c r="AO223" s="76"/>
      <c r="AP223" s="76"/>
      <c r="AQ223" s="76"/>
      <c r="AR223" s="76"/>
      <c r="AS223" s="80">
        <v>2</v>
      </c>
      <c r="AT223" s="79"/>
      <c r="AU223" s="76"/>
      <c r="AV223" s="76"/>
      <c r="AW223" s="76"/>
      <c r="AX223" s="76"/>
      <c r="AY223" s="80"/>
      <c r="AZ223" s="79"/>
      <c r="BA223" s="76"/>
      <c r="BB223" s="76"/>
      <c r="BC223" s="76"/>
      <c r="BD223" s="76"/>
      <c r="BE223" s="80"/>
      <c r="BF223" s="79"/>
      <c r="BG223" s="76"/>
      <c r="BH223" s="76"/>
      <c r="BI223" s="76"/>
      <c r="BJ223" s="76"/>
      <c r="BK223" s="80"/>
      <c r="BM223" s="125">
        <f t="shared" si="632"/>
        <v>0</v>
      </c>
      <c r="BN223" s="126">
        <f t="shared" si="633"/>
        <v>0</v>
      </c>
      <c r="BO223" s="126">
        <f t="shared" si="634"/>
        <v>0</v>
      </c>
      <c r="BP223" s="126">
        <f t="shared" si="635"/>
        <v>2</v>
      </c>
      <c r="BQ223" s="126">
        <f>SUM(AT223:AY223)</f>
        <v>0</v>
      </c>
      <c r="BR223" s="126">
        <f t="shared" si="636"/>
        <v>0</v>
      </c>
      <c r="BS223" s="127">
        <f t="shared" si="637"/>
        <v>0</v>
      </c>
      <c r="BT223" s="74"/>
      <c r="BU223" s="125">
        <f t="shared" si="638"/>
        <v>0</v>
      </c>
      <c r="BV223" s="126">
        <f t="shared" si="639"/>
        <v>0</v>
      </c>
      <c r="BW223" s="126">
        <f t="shared" si="640"/>
        <v>0</v>
      </c>
      <c r="BX223" s="126">
        <f t="shared" si="641"/>
        <v>1</v>
      </c>
      <c r="BY223" s="126">
        <f t="shared" si="642"/>
        <v>0</v>
      </c>
      <c r="BZ223" s="126">
        <f t="shared" si="642"/>
        <v>0</v>
      </c>
      <c r="CA223" s="126">
        <f t="shared" si="642"/>
        <v>0</v>
      </c>
    </row>
    <row r="224" spans="1:79">
      <c r="A224" s="147" t="str">
        <f t="shared" si="577"/>
        <v>D</v>
      </c>
      <c r="B224" s="148">
        <f t="shared" si="578"/>
        <v>70000</v>
      </c>
      <c r="C224" s="149" t="s">
        <v>192</v>
      </c>
      <c r="D224" s="150" t="s">
        <v>0</v>
      </c>
      <c r="E224" s="150" t="s">
        <v>0</v>
      </c>
      <c r="F224" s="145" t="s">
        <v>180</v>
      </c>
      <c r="G224" s="150" t="s">
        <v>165</v>
      </c>
      <c r="H224" s="150" t="s">
        <v>0</v>
      </c>
      <c r="I224" s="150" t="s">
        <v>0</v>
      </c>
      <c r="J224" s="151" t="s">
        <v>0</v>
      </c>
      <c r="K224" s="13">
        <v>1</v>
      </c>
      <c r="L224" s="12" t="s">
        <v>32</v>
      </c>
      <c r="M224" s="13">
        <v>1.25</v>
      </c>
      <c r="N224" s="13">
        <v>0</v>
      </c>
      <c r="O224" s="14">
        <v>1.25</v>
      </c>
      <c r="P224" s="113">
        <f t="shared" si="627"/>
        <v>0.5</v>
      </c>
      <c r="Q224" s="114">
        <f t="shared" si="628"/>
        <v>0.5</v>
      </c>
      <c r="R224" s="114">
        <f t="shared" si="629"/>
        <v>0.625</v>
      </c>
      <c r="S224" s="114">
        <f t="shared" si="630"/>
        <v>0.625</v>
      </c>
      <c r="T224" s="93">
        <f t="shared" si="631"/>
        <v>0.5</v>
      </c>
      <c r="U224" t="s">
        <v>0</v>
      </c>
      <c r="V224" s="79"/>
      <c r="W224" s="76"/>
      <c r="X224" s="76"/>
      <c r="Y224" s="76"/>
      <c r="Z224" s="76"/>
      <c r="AA224" s="80"/>
      <c r="AB224" s="79"/>
      <c r="AC224" s="76"/>
      <c r="AD224" s="76"/>
      <c r="AE224" s="76"/>
      <c r="AF224" s="76"/>
      <c r="AG224" s="80"/>
      <c r="AH224" s="79"/>
      <c r="AI224" s="76"/>
      <c r="AJ224" s="76"/>
      <c r="AK224" s="76"/>
      <c r="AL224" s="76"/>
      <c r="AM224" s="80"/>
      <c r="AN224" s="79"/>
      <c r="AO224" s="76"/>
      <c r="AP224" s="76"/>
      <c r="AQ224" s="76"/>
      <c r="AR224" s="76"/>
      <c r="AS224" s="80">
        <v>0.5</v>
      </c>
      <c r="AT224" s="79"/>
      <c r="AU224" s="76"/>
      <c r="AV224" s="76"/>
      <c r="AW224" s="76"/>
      <c r="AX224" s="76"/>
      <c r="AY224" s="80"/>
      <c r="AZ224" s="79"/>
      <c r="BA224" s="76"/>
      <c r="BB224" s="76"/>
      <c r="BC224" s="76"/>
      <c r="BD224" s="76"/>
      <c r="BE224" s="80"/>
      <c r="BF224" s="79"/>
      <c r="BG224" s="76"/>
      <c r="BH224" s="76"/>
      <c r="BI224" s="76"/>
      <c r="BJ224" s="76"/>
      <c r="BK224" s="80"/>
      <c r="BM224" s="125">
        <f t="shared" si="632"/>
        <v>0</v>
      </c>
      <c r="BN224" s="126">
        <f t="shared" si="633"/>
        <v>0</v>
      </c>
      <c r="BO224" s="126">
        <f t="shared" si="634"/>
        <v>0</v>
      </c>
      <c r="BP224" s="126">
        <f t="shared" si="635"/>
        <v>0.5</v>
      </c>
      <c r="BQ224" s="126">
        <f>SUM(AT224:AY224)</f>
        <v>0</v>
      </c>
      <c r="BR224" s="126">
        <f t="shared" si="636"/>
        <v>0</v>
      </c>
      <c r="BS224" s="127">
        <f t="shared" si="637"/>
        <v>0</v>
      </c>
      <c r="BT224" s="74"/>
      <c r="BU224" s="125">
        <f t="shared" si="638"/>
        <v>0</v>
      </c>
      <c r="BV224" s="126">
        <f t="shared" si="639"/>
        <v>0</v>
      </c>
      <c r="BW224" s="126">
        <f t="shared" si="640"/>
        <v>0</v>
      </c>
      <c r="BX224" s="126">
        <f t="shared" si="641"/>
        <v>0.625</v>
      </c>
      <c r="BY224" s="126">
        <f t="shared" si="642"/>
        <v>0</v>
      </c>
      <c r="BZ224" s="126">
        <f t="shared" si="642"/>
        <v>0</v>
      </c>
      <c r="CA224" s="126">
        <f t="shared" si="642"/>
        <v>0</v>
      </c>
    </row>
    <row r="225" spans="1:79">
      <c r="A225" s="147" t="str">
        <f t="shared" si="577"/>
        <v>D</v>
      </c>
      <c r="B225" s="148">
        <f t="shared" si="578"/>
        <v>70000</v>
      </c>
      <c r="C225" s="149" t="s">
        <v>192</v>
      </c>
      <c r="D225" s="150" t="s">
        <v>0</v>
      </c>
      <c r="E225" s="150" t="s">
        <v>0</v>
      </c>
      <c r="F225" s="145" t="s">
        <v>171</v>
      </c>
      <c r="G225" s="150" t="s">
        <v>165</v>
      </c>
      <c r="H225" s="150" t="s">
        <v>0</v>
      </c>
      <c r="I225" s="150" t="s">
        <v>0</v>
      </c>
      <c r="J225" s="151" t="s">
        <v>0</v>
      </c>
      <c r="K225" s="13">
        <v>3</v>
      </c>
      <c r="L225" s="12" t="s">
        <v>32</v>
      </c>
      <c r="M225" s="13">
        <v>0.6</v>
      </c>
      <c r="N225" s="13">
        <v>0</v>
      </c>
      <c r="O225" s="14">
        <v>0.6</v>
      </c>
      <c r="P225" s="113">
        <f t="shared" si="627"/>
        <v>2</v>
      </c>
      <c r="Q225" s="114">
        <f t="shared" si="628"/>
        <v>1</v>
      </c>
      <c r="R225" s="114">
        <f t="shared" si="629"/>
        <v>0.39999999999999997</v>
      </c>
      <c r="S225" s="114">
        <f t="shared" si="630"/>
        <v>0.2</v>
      </c>
      <c r="T225" s="93">
        <f t="shared" si="631"/>
        <v>0.66666666666666663</v>
      </c>
      <c r="U225" t="s">
        <v>0</v>
      </c>
      <c r="V225" s="79"/>
      <c r="W225" s="76"/>
      <c r="X225" s="76"/>
      <c r="Y225" s="76"/>
      <c r="Z225" s="76"/>
      <c r="AA225" s="80"/>
      <c r="AB225" s="79"/>
      <c r="AC225" s="76"/>
      <c r="AD225" s="76"/>
      <c r="AE225" s="76"/>
      <c r="AF225" s="76"/>
      <c r="AG225" s="80"/>
      <c r="AH225" s="79"/>
      <c r="AI225" s="76"/>
      <c r="AJ225" s="76"/>
      <c r="AK225" s="76"/>
      <c r="AL225" s="76"/>
      <c r="AM225" s="80"/>
      <c r="AN225" s="79"/>
      <c r="AO225" s="76"/>
      <c r="AP225" s="76"/>
      <c r="AQ225" s="76"/>
      <c r="AR225" s="76"/>
      <c r="AS225" s="80">
        <v>2</v>
      </c>
      <c r="AT225" s="79"/>
      <c r="AU225" s="76"/>
      <c r="AV225" s="76"/>
      <c r="AW225" s="76"/>
      <c r="AX225" s="76"/>
      <c r="AY225" s="80"/>
      <c r="AZ225" s="79"/>
      <c r="BA225" s="76"/>
      <c r="BB225" s="76"/>
      <c r="BC225" s="76"/>
      <c r="BD225" s="76"/>
      <c r="BE225" s="80"/>
      <c r="BF225" s="79"/>
      <c r="BG225" s="76"/>
      <c r="BH225" s="76"/>
      <c r="BI225" s="76"/>
      <c r="BJ225" s="76"/>
      <c r="BK225" s="80"/>
      <c r="BM225" s="125">
        <f t="shared" si="632"/>
        <v>0</v>
      </c>
      <c r="BN225" s="126">
        <f t="shared" si="633"/>
        <v>0</v>
      </c>
      <c r="BO225" s="126">
        <f t="shared" si="634"/>
        <v>0</v>
      </c>
      <c r="BP225" s="126">
        <f t="shared" si="635"/>
        <v>2</v>
      </c>
      <c r="BQ225" s="126">
        <f>SUM(AT225:AY225)</f>
        <v>0</v>
      </c>
      <c r="BR225" s="126">
        <f t="shared" si="636"/>
        <v>0</v>
      </c>
      <c r="BS225" s="127">
        <f t="shared" si="637"/>
        <v>0</v>
      </c>
      <c r="BT225" s="74"/>
      <c r="BU225" s="125">
        <f t="shared" si="638"/>
        <v>0</v>
      </c>
      <c r="BV225" s="126">
        <f t="shared" si="639"/>
        <v>0</v>
      </c>
      <c r="BW225" s="126">
        <f t="shared" si="640"/>
        <v>0</v>
      </c>
      <c r="BX225" s="126">
        <f t="shared" si="641"/>
        <v>0.39999999999999997</v>
      </c>
      <c r="BY225" s="126">
        <f t="shared" si="642"/>
        <v>0</v>
      </c>
      <c r="BZ225" s="126">
        <f t="shared" si="642"/>
        <v>0</v>
      </c>
      <c r="CA225" s="126">
        <f t="shared" si="642"/>
        <v>0</v>
      </c>
    </row>
    <row r="226" spans="1:79">
      <c r="A226" s="147" t="str">
        <f t="shared" si="577"/>
        <v>D</v>
      </c>
      <c r="B226" s="148">
        <f t="shared" si="578"/>
        <v>70000</v>
      </c>
      <c r="C226" s="149" t="s">
        <v>192</v>
      </c>
      <c r="D226" s="150" t="s">
        <v>0</v>
      </c>
      <c r="E226" s="150" t="s">
        <v>0</v>
      </c>
      <c r="F226" s="145" t="s">
        <v>181</v>
      </c>
      <c r="G226" s="150" t="s">
        <v>165</v>
      </c>
      <c r="H226" s="150" t="s">
        <v>0</v>
      </c>
      <c r="I226" s="150" t="s">
        <v>0</v>
      </c>
      <c r="J226" s="151" t="s">
        <v>0</v>
      </c>
      <c r="K226" s="13">
        <v>3</v>
      </c>
      <c r="L226" s="12" t="s">
        <v>32</v>
      </c>
      <c r="M226" s="13">
        <v>6</v>
      </c>
      <c r="N226" s="13">
        <v>0</v>
      </c>
      <c r="O226" s="14">
        <v>6</v>
      </c>
      <c r="P226" s="113">
        <f t="shared" si="627"/>
        <v>2</v>
      </c>
      <c r="Q226" s="114">
        <f t="shared" si="628"/>
        <v>1</v>
      </c>
      <c r="R226" s="114">
        <f t="shared" si="629"/>
        <v>4</v>
      </c>
      <c r="S226" s="114">
        <f t="shared" si="630"/>
        <v>2</v>
      </c>
      <c r="T226" s="93">
        <f t="shared" si="631"/>
        <v>0.66666666666666663</v>
      </c>
      <c r="U226" t="s">
        <v>0</v>
      </c>
      <c r="V226" s="79"/>
      <c r="W226" s="76"/>
      <c r="X226" s="76"/>
      <c r="Y226" s="76"/>
      <c r="Z226" s="76"/>
      <c r="AA226" s="80"/>
      <c r="AB226" s="79"/>
      <c r="AC226" s="76"/>
      <c r="AD226" s="76"/>
      <c r="AE226" s="76"/>
      <c r="AF226" s="76"/>
      <c r="AG226" s="80"/>
      <c r="AH226" s="79"/>
      <c r="AI226" s="76"/>
      <c r="AJ226" s="76"/>
      <c r="AK226" s="76"/>
      <c r="AL226" s="76"/>
      <c r="AM226" s="80"/>
      <c r="AN226" s="79"/>
      <c r="AO226" s="76"/>
      <c r="AP226" s="76"/>
      <c r="AQ226" s="76"/>
      <c r="AR226" s="76"/>
      <c r="AS226" s="80">
        <v>2</v>
      </c>
      <c r="AT226" s="79"/>
      <c r="AU226" s="76"/>
      <c r="AV226" s="76"/>
      <c r="AW226" s="76"/>
      <c r="AX226" s="76"/>
      <c r="AY226" s="80"/>
      <c r="AZ226" s="79"/>
      <c r="BA226" s="76"/>
      <c r="BB226" s="76"/>
      <c r="BC226" s="76"/>
      <c r="BD226" s="76"/>
      <c r="BE226" s="80"/>
      <c r="BF226" s="79"/>
      <c r="BG226" s="76"/>
      <c r="BH226" s="76"/>
      <c r="BI226" s="76"/>
      <c r="BJ226" s="76"/>
      <c r="BK226" s="80"/>
      <c r="BM226" s="125">
        <f t="shared" si="632"/>
        <v>0</v>
      </c>
      <c r="BN226" s="126">
        <f t="shared" si="633"/>
        <v>0</v>
      </c>
      <c r="BO226" s="126">
        <f t="shared" si="634"/>
        <v>0</v>
      </c>
      <c r="BP226" s="126">
        <f t="shared" si="635"/>
        <v>2</v>
      </c>
      <c r="BQ226" s="126">
        <f>SUM(AT226:AY226)</f>
        <v>0</v>
      </c>
      <c r="BR226" s="126">
        <f t="shared" si="636"/>
        <v>0</v>
      </c>
      <c r="BS226" s="127">
        <f t="shared" si="637"/>
        <v>0</v>
      </c>
      <c r="BT226" s="74"/>
      <c r="BU226" s="125">
        <f t="shared" si="638"/>
        <v>0</v>
      </c>
      <c r="BV226" s="126">
        <f t="shared" si="639"/>
        <v>0</v>
      </c>
      <c r="BW226" s="126">
        <f t="shared" si="640"/>
        <v>0</v>
      </c>
      <c r="BX226" s="126">
        <f t="shared" si="641"/>
        <v>4</v>
      </c>
      <c r="BY226" s="126">
        <f t="shared" si="642"/>
        <v>0</v>
      </c>
      <c r="BZ226" s="126">
        <f t="shared" si="642"/>
        <v>0</v>
      </c>
      <c r="CA226" s="126">
        <f t="shared" si="642"/>
        <v>0</v>
      </c>
    </row>
    <row r="227" spans="1:79" ht="15.75">
      <c r="A227" s="152" t="str">
        <f t="shared" si="577"/>
        <v>P</v>
      </c>
      <c r="B227" s="153">
        <f t="shared" si="578"/>
        <v>70000</v>
      </c>
      <c r="C227" s="154" t="s">
        <v>195</v>
      </c>
      <c r="D227" s="155" t="s">
        <v>0</v>
      </c>
      <c r="E227" s="155" t="s">
        <v>0</v>
      </c>
      <c r="F227" s="156" t="s">
        <v>196</v>
      </c>
      <c r="G227" s="155" t="s">
        <v>165</v>
      </c>
      <c r="H227" s="155" t="s">
        <v>0</v>
      </c>
      <c r="I227" s="155" t="s">
        <v>0</v>
      </c>
      <c r="J227" s="157" t="s">
        <v>0</v>
      </c>
      <c r="K227" s="9">
        <v>15</v>
      </c>
      <c r="L227" s="8" t="s">
        <v>56</v>
      </c>
      <c r="M227" s="9">
        <v>11.65</v>
      </c>
      <c r="N227" s="9">
        <v>2.65</v>
      </c>
      <c r="O227" s="10">
        <v>14.299999999999999</v>
      </c>
      <c r="P227" s="111"/>
      <c r="Q227" s="112"/>
      <c r="R227" s="112">
        <f>SUMIFS(R228:R$415,$C228:$C$415,$C227)</f>
        <v>14.299999999999999</v>
      </c>
      <c r="S227" s="112">
        <f>SUMIFS(S228:S$415,$C228:$C$415,$C227)</f>
        <v>0</v>
      </c>
      <c r="T227" s="92">
        <f>R227/O227</f>
        <v>1</v>
      </c>
      <c r="V227" s="77"/>
      <c r="W227" s="75"/>
      <c r="X227" s="75"/>
      <c r="Y227" s="75"/>
      <c r="Z227" s="75"/>
      <c r="AA227" s="78"/>
      <c r="AB227" s="77"/>
      <c r="AC227" s="75"/>
      <c r="AD227" s="75"/>
      <c r="AE227" s="75"/>
      <c r="AF227" s="75"/>
      <c r="AG227" s="78"/>
      <c r="AH227" s="77"/>
      <c r="AI227" s="75"/>
      <c r="AJ227" s="75"/>
      <c r="AK227" s="75"/>
      <c r="AL227" s="75"/>
      <c r="AM227" s="78"/>
      <c r="AN227" s="77"/>
      <c r="AO227" s="75"/>
      <c r="AP227" s="75"/>
      <c r="AQ227" s="75"/>
      <c r="AR227" s="75"/>
      <c r="AS227" s="78"/>
      <c r="AT227" s="77"/>
      <c r="AU227" s="75"/>
      <c r="AV227" s="75"/>
      <c r="AW227" s="75"/>
      <c r="AX227" s="75"/>
      <c r="AY227" s="78"/>
      <c r="AZ227" s="77"/>
      <c r="BA227" s="75"/>
      <c r="BB227" s="75"/>
      <c r="BC227" s="75"/>
      <c r="BD227" s="75"/>
      <c r="BE227" s="78"/>
      <c r="BF227" s="77"/>
      <c r="BG227" s="75"/>
      <c r="BH227" s="75"/>
      <c r="BI227" s="75"/>
      <c r="BJ227" s="75"/>
      <c r="BK227" s="78"/>
      <c r="BM227" s="122"/>
      <c r="BN227" s="123"/>
      <c r="BO227" s="123"/>
      <c r="BP227" s="123"/>
      <c r="BQ227" s="123"/>
      <c r="BR227" s="123"/>
      <c r="BS227" s="124"/>
      <c r="BT227" s="74"/>
      <c r="BU227" s="122"/>
      <c r="BV227" s="123"/>
      <c r="BW227" s="123"/>
      <c r="BX227" s="123"/>
      <c r="BY227" s="123"/>
      <c r="BZ227" s="123"/>
      <c r="CA227" s="123"/>
    </row>
    <row r="228" spans="1:79">
      <c r="A228" s="147" t="str">
        <f t="shared" si="577"/>
        <v>D</v>
      </c>
      <c r="B228" s="148">
        <f t="shared" si="578"/>
        <v>70000</v>
      </c>
      <c r="C228" s="149" t="s">
        <v>195</v>
      </c>
      <c r="D228" s="150" t="s">
        <v>0</v>
      </c>
      <c r="E228" s="150" t="s">
        <v>0</v>
      </c>
      <c r="F228" s="145" t="s">
        <v>176</v>
      </c>
      <c r="G228" s="150" t="s">
        <v>165</v>
      </c>
      <c r="H228" s="150" t="s">
        <v>0</v>
      </c>
      <c r="I228" s="150" t="s">
        <v>0</v>
      </c>
      <c r="J228" s="151" t="s">
        <v>0</v>
      </c>
      <c r="K228" s="13">
        <v>15</v>
      </c>
      <c r="L228" s="12" t="s">
        <v>56</v>
      </c>
      <c r="M228" s="13">
        <v>3.75</v>
      </c>
      <c r="N228" s="13">
        <v>0</v>
      </c>
      <c r="O228" s="14">
        <v>3.75</v>
      </c>
      <c r="P228" s="113">
        <f t="shared" ref="P228:P233" si="643">SUM(BM228:BS228)</f>
        <v>15</v>
      </c>
      <c r="Q228" s="114">
        <f t="shared" ref="Q228:Q233" si="644">K228-P228</f>
        <v>0</v>
      </c>
      <c r="R228" s="114">
        <f t="shared" ref="R228:R233" si="645">SUM(BU228:CA228)</f>
        <v>3.75</v>
      </c>
      <c r="S228" s="114">
        <f t="shared" ref="S228:S233" si="646">O228-R228</f>
        <v>0</v>
      </c>
      <c r="T228" s="93">
        <f t="shared" ref="T228:T233" si="647">R228/O228</f>
        <v>1</v>
      </c>
      <c r="U228" t="s">
        <v>0</v>
      </c>
      <c r="V228" s="79"/>
      <c r="W228" s="76"/>
      <c r="X228" s="76"/>
      <c r="Y228" s="76"/>
      <c r="Z228" s="76"/>
      <c r="AA228" s="80"/>
      <c r="AB228" s="79"/>
      <c r="AC228" s="76"/>
      <c r="AD228" s="76"/>
      <c r="AE228" s="76"/>
      <c r="AF228" s="76"/>
      <c r="AG228" s="80"/>
      <c r="AH228" s="79"/>
      <c r="AI228" s="76"/>
      <c r="AJ228" s="76"/>
      <c r="AK228" s="76"/>
      <c r="AL228" s="76"/>
      <c r="AM228" s="80"/>
      <c r="AN228" s="79"/>
      <c r="AO228" s="76"/>
      <c r="AP228" s="76"/>
      <c r="AQ228" s="76"/>
      <c r="AR228" s="76"/>
      <c r="AS228" s="80">
        <v>10</v>
      </c>
      <c r="AT228" s="79"/>
      <c r="AU228" s="76"/>
      <c r="AV228" s="76"/>
      <c r="AW228" s="76">
        <v>5</v>
      </c>
      <c r="AX228" s="76"/>
      <c r="AY228" s="80"/>
      <c r="AZ228" s="79"/>
      <c r="BA228" s="76"/>
      <c r="BB228" s="76"/>
      <c r="BC228" s="76"/>
      <c r="BD228" s="76"/>
      <c r="BE228" s="80"/>
      <c r="BF228" s="79"/>
      <c r="BG228" s="76"/>
      <c r="BH228" s="76"/>
      <c r="BI228" s="76"/>
      <c r="BJ228" s="76"/>
      <c r="BK228" s="80"/>
      <c r="BM228" s="125">
        <f t="shared" ref="BM228:BM233" si="648">SUM(V228:AA228)</f>
        <v>0</v>
      </c>
      <c r="BN228" s="126">
        <f t="shared" ref="BN228:BN233" si="649">SUM(AB228:AG228)</f>
        <v>0</v>
      </c>
      <c r="BO228" s="126">
        <f t="shared" ref="BO228:BO233" si="650">SUM(AH228:AM228)</f>
        <v>0</v>
      </c>
      <c r="BP228" s="126">
        <f t="shared" ref="BP228:BP233" si="651">SUM(AN228:AS228)</f>
        <v>10</v>
      </c>
      <c r="BQ228" s="126">
        <f>SUM(AT228:AY228)</f>
        <v>5</v>
      </c>
      <c r="BR228" s="126">
        <f t="shared" ref="BR228:BS233" si="652">SUM(AZ228:BE228)</f>
        <v>0</v>
      </c>
      <c r="BS228" s="127">
        <f t="shared" ref="BS228:BS233" si="653">SUM(BF228:BK228)</f>
        <v>0</v>
      </c>
      <c r="BT228" s="74"/>
      <c r="BU228" s="125">
        <f t="shared" ref="BU228:BU233" si="654">(BM228/$K228)*$O228</f>
        <v>0</v>
      </c>
      <c r="BV228" s="126">
        <f t="shared" ref="BV228:BV233" si="655">(BN228/$K228)*$O228</f>
        <v>0</v>
      </c>
      <c r="BW228" s="126">
        <f t="shared" ref="BW228:BW233" si="656">(BO228/$K228)*$O228</f>
        <v>0</v>
      </c>
      <c r="BX228" s="126">
        <f t="shared" ref="BX228:BX233" si="657">(BP228/$K228)*$O228</f>
        <v>2.5</v>
      </c>
      <c r="BY228" s="126">
        <f t="shared" ref="BY228:CA233" si="658">(BQ228/$K228)*$O228</f>
        <v>1.25</v>
      </c>
      <c r="BZ228" s="126">
        <f t="shared" si="658"/>
        <v>0</v>
      </c>
      <c r="CA228" s="126">
        <f t="shared" si="658"/>
        <v>0</v>
      </c>
    </row>
    <row r="229" spans="1:79">
      <c r="A229" s="147" t="str">
        <f t="shared" si="577"/>
        <v>D</v>
      </c>
      <c r="B229" s="148">
        <f t="shared" si="578"/>
        <v>70000</v>
      </c>
      <c r="C229" s="149" t="s">
        <v>195</v>
      </c>
      <c r="D229" s="150" t="s">
        <v>0</v>
      </c>
      <c r="E229" s="150" t="s">
        <v>0</v>
      </c>
      <c r="F229" s="145" t="s">
        <v>177</v>
      </c>
      <c r="G229" s="150" t="s">
        <v>165</v>
      </c>
      <c r="H229" s="150" t="s">
        <v>0</v>
      </c>
      <c r="I229" s="150" t="s">
        <v>0</v>
      </c>
      <c r="J229" s="151" t="s">
        <v>0</v>
      </c>
      <c r="K229" s="13">
        <v>1</v>
      </c>
      <c r="L229" s="12" t="s">
        <v>32</v>
      </c>
      <c r="M229" s="13">
        <v>2.2999999999999998</v>
      </c>
      <c r="N229" s="13">
        <v>2.65</v>
      </c>
      <c r="O229" s="14">
        <v>4.95</v>
      </c>
      <c r="P229" s="113">
        <f t="shared" si="643"/>
        <v>1</v>
      </c>
      <c r="Q229" s="114">
        <f t="shared" si="644"/>
        <v>0</v>
      </c>
      <c r="R229" s="114">
        <f t="shared" si="645"/>
        <v>4.95</v>
      </c>
      <c r="S229" s="114">
        <f t="shared" si="646"/>
        <v>0</v>
      </c>
      <c r="T229" s="93">
        <f t="shared" si="647"/>
        <v>1</v>
      </c>
      <c r="U229" t="s">
        <v>0</v>
      </c>
      <c r="V229" s="79"/>
      <c r="W229" s="76"/>
      <c r="X229" s="76"/>
      <c r="Y229" s="76"/>
      <c r="Z229" s="76"/>
      <c r="AA229" s="80"/>
      <c r="AB229" s="79"/>
      <c r="AC229" s="76"/>
      <c r="AD229" s="76"/>
      <c r="AE229" s="76"/>
      <c r="AF229" s="76"/>
      <c r="AG229" s="80"/>
      <c r="AH229" s="79"/>
      <c r="AI229" s="76"/>
      <c r="AJ229" s="76"/>
      <c r="AK229" s="76"/>
      <c r="AL229" s="76"/>
      <c r="AM229" s="80"/>
      <c r="AN229" s="79"/>
      <c r="AO229" s="76"/>
      <c r="AP229" s="76"/>
      <c r="AQ229" s="76"/>
      <c r="AR229" s="76"/>
      <c r="AS229" s="80">
        <v>0.5</v>
      </c>
      <c r="AT229" s="79"/>
      <c r="AU229" s="76"/>
      <c r="AV229" s="76"/>
      <c r="AW229" s="76">
        <v>0.5</v>
      </c>
      <c r="AX229" s="76"/>
      <c r="AY229" s="80"/>
      <c r="AZ229" s="79"/>
      <c r="BA229" s="76"/>
      <c r="BB229" s="76"/>
      <c r="BC229" s="76"/>
      <c r="BD229" s="76"/>
      <c r="BE229" s="80"/>
      <c r="BF229" s="79"/>
      <c r="BG229" s="76"/>
      <c r="BH229" s="76"/>
      <c r="BI229" s="76"/>
      <c r="BJ229" s="76"/>
      <c r="BK229" s="80"/>
      <c r="BM229" s="125">
        <f t="shared" si="648"/>
        <v>0</v>
      </c>
      <c r="BN229" s="126">
        <f t="shared" si="649"/>
        <v>0</v>
      </c>
      <c r="BO229" s="126">
        <f t="shared" si="650"/>
        <v>0</v>
      </c>
      <c r="BP229" s="126">
        <f t="shared" si="651"/>
        <v>0.5</v>
      </c>
      <c r="BQ229" s="126">
        <f>SUM(AT229:AY229)</f>
        <v>0.5</v>
      </c>
      <c r="BR229" s="126">
        <f t="shared" si="652"/>
        <v>0</v>
      </c>
      <c r="BS229" s="127">
        <f t="shared" si="653"/>
        <v>0</v>
      </c>
      <c r="BT229" s="74"/>
      <c r="BU229" s="125">
        <f t="shared" si="654"/>
        <v>0</v>
      </c>
      <c r="BV229" s="126">
        <f t="shared" si="655"/>
        <v>0</v>
      </c>
      <c r="BW229" s="126">
        <f t="shared" si="656"/>
        <v>0</v>
      </c>
      <c r="BX229" s="126">
        <f t="shared" si="657"/>
        <v>2.4750000000000001</v>
      </c>
      <c r="BY229" s="126">
        <f t="shared" si="658"/>
        <v>2.4750000000000001</v>
      </c>
      <c r="BZ229" s="126">
        <f t="shared" si="658"/>
        <v>0</v>
      </c>
      <c r="CA229" s="126">
        <f t="shared" si="658"/>
        <v>0</v>
      </c>
    </row>
    <row r="230" spans="1:79">
      <c r="A230" s="147" t="str">
        <f t="shared" si="577"/>
        <v>D</v>
      </c>
      <c r="B230" s="148">
        <f t="shared" si="578"/>
        <v>70000</v>
      </c>
      <c r="C230" s="149" t="s">
        <v>195</v>
      </c>
      <c r="D230" s="150" t="s">
        <v>0</v>
      </c>
      <c r="E230" s="150" t="s">
        <v>0</v>
      </c>
      <c r="F230" s="145" t="s">
        <v>194</v>
      </c>
      <c r="G230" s="150" t="s">
        <v>165</v>
      </c>
      <c r="H230" s="150" t="s">
        <v>0</v>
      </c>
      <c r="I230" s="150" t="s">
        <v>0</v>
      </c>
      <c r="J230" s="151" t="s">
        <v>0</v>
      </c>
      <c r="K230" s="13">
        <v>1</v>
      </c>
      <c r="L230" s="12" t="s">
        <v>32</v>
      </c>
      <c r="M230" s="13">
        <v>0.5</v>
      </c>
      <c r="N230" s="13">
        <v>0</v>
      </c>
      <c r="O230" s="14">
        <v>0.5</v>
      </c>
      <c r="P230" s="113">
        <f t="shared" si="643"/>
        <v>1</v>
      </c>
      <c r="Q230" s="114">
        <f t="shared" si="644"/>
        <v>0</v>
      </c>
      <c r="R230" s="114">
        <f t="shared" si="645"/>
        <v>0.5</v>
      </c>
      <c r="S230" s="114">
        <f t="shared" si="646"/>
        <v>0</v>
      </c>
      <c r="T230" s="93">
        <f t="shared" si="647"/>
        <v>1</v>
      </c>
      <c r="U230" t="s">
        <v>0</v>
      </c>
      <c r="V230" s="79"/>
      <c r="W230" s="76"/>
      <c r="X230" s="76"/>
      <c r="Y230" s="76"/>
      <c r="Z230" s="76"/>
      <c r="AA230" s="80"/>
      <c r="AB230" s="79"/>
      <c r="AC230" s="76"/>
      <c r="AD230" s="76"/>
      <c r="AE230" s="76"/>
      <c r="AF230" s="76"/>
      <c r="AG230" s="80"/>
      <c r="AH230" s="79"/>
      <c r="AI230" s="76"/>
      <c r="AJ230" s="76"/>
      <c r="AK230" s="76"/>
      <c r="AL230" s="76"/>
      <c r="AM230" s="80"/>
      <c r="AN230" s="79"/>
      <c r="AO230" s="76"/>
      <c r="AP230" s="76"/>
      <c r="AQ230" s="76"/>
      <c r="AR230" s="76"/>
      <c r="AS230" s="80">
        <v>0.5</v>
      </c>
      <c r="AT230" s="79"/>
      <c r="AU230" s="76"/>
      <c r="AV230" s="76"/>
      <c r="AW230" s="76">
        <v>0.5</v>
      </c>
      <c r="AX230" s="76"/>
      <c r="AY230" s="80"/>
      <c r="AZ230" s="79"/>
      <c r="BA230" s="76"/>
      <c r="BB230" s="76"/>
      <c r="BC230" s="76"/>
      <c r="BD230" s="76"/>
      <c r="BE230" s="80"/>
      <c r="BF230" s="79"/>
      <c r="BG230" s="76"/>
      <c r="BH230" s="76"/>
      <c r="BI230" s="76"/>
      <c r="BJ230" s="76"/>
      <c r="BK230" s="80"/>
      <c r="BM230" s="125">
        <f t="shared" si="648"/>
        <v>0</v>
      </c>
      <c r="BN230" s="126">
        <f t="shared" si="649"/>
        <v>0</v>
      </c>
      <c r="BO230" s="126">
        <f t="shared" si="650"/>
        <v>0</v>
      </c>
      <c r="BP230" s="126">
        <f t="shared" si="651"/>
        <v>0.5</v>
      </c>
      <c r="BQ230" s="126">
        <f>SUM(AT230:AY230)</f>
        <v>0.5</v>
      </c>
      <c r="BR230" s="126">
        <f t="shared" si="652"/>
        <v>0</v>
      </c>
      <c r="BS230" s="127">
        <f t="shared" si="653"/>
        <v>0</v>
      </c>
      <c r="BT230" s="74"/>
      <c r="BU230" s="125">
        <f t="shared" si="654"/>
        <v>0</v>
      </c>
      <c r="BV230" s="126">
        <f t="shared" si="655"/>
        <v>0</v>
      </c>
      <c r="BW230" s="126">
        <f t="shared" si="656"/>
        <v>0</v>
      </c>
      <c r="BX230" s="126">
        <f t="shared" si="657"/>
        <v>0.25</v>
      </c>
      <c r="BY230" s="126">
        <f t="shared" si="658"/>
        <v>0.25</v>
      </c>
      <c r="BZ230" s="126">
        <f t="shared" si="658"/>
        <v>0</v>
      </c>
      <c r="CA230" s="126">
        <f t="shared" si="658"/>
        <v>0</v>
      </c>
    </row>
    <row r="231" spans="1:79">
      <c r="A231" s="147" t="str">
        <f t="shared" si="577"/>
        <v>D</v>
      </c>
      <c r="B231" s="148">
        <f t="shared" si="578"/>
        <v>70000</v>
      </c>
      <c r="C231" s="149" t="s">
        <v>195</v>
      </c>
      <c r="D231" s="150" t="s">
        <v>0</v>
      </c>
      <c r="E231" s="150" t="s">
        <v>0</v>
      </c>
      <c r="F231" s="145" t="s">
        <v>180</v>
      </c>
      <c r="G231" s="150" t="s">
        <v>165</v>
      </c>
      <c r="H231" s="150" t="s">
        <v>0</v>
      </c>
      <c r="I231" s="150" t="s">
        <v>0</v>
      </c>
      <c r="J231" s="151" t="s">
        <v>0</v>
      </c>
      <c r="K231" s="13">
        <v>2</v>
      </c>
      <c r="L231" s="12" t="s">
        <v>32</v>
      </c>
      <c r="M231" s="13">
        <v>2.5</v>
      </c>
      <c r="N231" s="13">
        <v>0</v>
      </c>
      <c r="O231" s="14">
        <v>2.5</v>
      </c>
      <c r="P231" s="113">
        <f t="shared" si="643"/>
        <v>2</v>
      </c>
      <c r="Q231" s="114">
        <f t="shared" si="644"/>
        <v>0</v>
      </c>
      <c r="R231" s="114">
        <f t="shared" si="645"/>
        <v>2.5</v>
      </c>
      <c r="S231" s="114">
        <f t="shared" si="646"/>
        <v>0</v>
      </c>
      <c r="T231" s="93">
        <f t="shared" si="647"/>
        <v>1</v>
      </c>
      <c r="U231" t="s">
        <v>0</v>
      </c>
      <c r="V231" s="79"/>
      <c r="W231" s="76"/>
      <c r="X231" s="76"/>
      <c r="Y231" s="76"/>
      <c r="Z231" s="76"/>
      <c r="AA231" s="80"/>
      <c r="AB231" s="79"/>
      <c r="AC231" s="76"/>
      <c r="AD231" s="76"/>
      <c r="AE231" s="76"/>
      <c r="AF231" s="76"/>
      <c r="AG231" s="80"/>
      <c r="AH231" s="79"/>
      <c r="AI231" s="76"/>
      <c r="AJ231" s="76"/>
      <c r="AK231" s="76"/>
      <c r="AL231" s="76"/>
      <c r="AM231" s="80"/>
      <c r="AN231" s="79"/>
      <c r="AO231" s="76"/>
      <c r="AP231" s="76"/>
      <c r="AQ231" s="76"/>
      <c r="AR231" s="76"/>
      <c r="AS231" s="80">
        <v>1</v>
      </c>
      <c r="AT231" s="79"/>
      <c r="AU231" s="76"/>
      <c r="AV231" s="76"/>
      <c r="AW231" s="76">
        <v>1</v>
      </c>
      <c r="AX231" s="76"/>
      <c r="AY231" s="80"/>
      <c r="AZ231" s="79"/>
      <c r="BA231" s="76"/>
      <c r="BB231" s="76"/>
      <c r="BC231" s="76"/>
      <c r="BD231" s="76"/>
      <c r="BE231" s="80"/>
      <c r="BF231" s="79"/>
      <c r="BG231" s="76"/>
      <c r="BH231" s="76"/>
      <c r="BI231" s="76"/>
      <c r="BJ231" s="76"/>
      <c r="BK231" s="80"/>
      <c r="BM231" s="125">
        <f t="shared" si="648"/>
        <v>0</v>
      </c>
      <c r="BN231" s="126">
        <f t="shared" si="649"/>
        <v>0</v>
      </c>
      <c r="BO231" s="126">
        <f t="shared" si="650"/>
        <v>0</v>
      </c>
      <c r="BP231" s="126">
        <f t="shared" si="651"/>
        <v>1</v>
      </c>
      <c r="BQ231" s="126">
        <f>SUM(AT231:AY231)</f>
        <v>1</v>
      </c>
      <c r="BR231" s="126">
        <f t="shared" si="652"/>
        <v>0</v>
      </c>
      <c r="BS231" s="127">
        <f t="shared" si="653"/>
        <v>0</v>
      </c>
      <c r="BT231" s="74"/>
      <c r="BU231" s="125">
        <f t="shared" si="654"/>
        <v>0</v>
      </c>
      <c r="BV231" s="126">
        <f t="shared" si="655"/>
        <v>0</v>
      </c>
      <c r="BW231" s="126">
        <f t="shared" si="656"/>
        <v>0</v>
      </c>
      <c r="BX231" s="126">
        <f t="shared" si="657"/>
        <v>1.25</v>
      </c>
      <c r="BY231" s="126">
        <f t="shared" si="658"/>
        <v>1.25</v>
      </c>
      <c r="BZ231" s="126">
        <f t="shared" si="658"/>
        <v>0</v>
      </c>
      <c r="CA231" s="126">
        <f t="shared" si="658"/>
        <v>0</v>
      </c>
    </row>
    <row r="232" spans="1:79">
      <c r="A232" s="147" t="str">
        <f t="shared" si="577"/>
        <v>D</v>
      </c>
      <c r="B232" s="148">
        <f t="shared" si="578"/>
        <v>70000</v>
      </c>
      <c r="C232" s="149" t="s">
        <v>195</v>
      </c>
      <c r="D232" s="150" t="s">
        <v>0</v>
      </c>
      <c r="E232" s="150" t="s">
        <v>0</v>
      </c>
      <c r="F232" s="145" t="s">
        <v>171</v>
      </c>
      <c r="G232" s="150" t="s">
        <v>165</v>
      </c>
      <c r="H232" s="150" t="s">
        <v>0</v>
      </c>
      <c r="I232" s="150" t="s">
        <v>0</v>
      </c>
      <c r="J232" s="151" t="s">
        <v>0</v>
      </c>
      <c r="K232" s="13">
        <v>3</v>
      </c>
      <c r="L232" s="12" t="s">
        <v>32</v>
      </c>
      <c r="M232" s="13">
        <v>0.6</v>
      </c>
      <c r="N232" s="13">
        <v>0</v>
      </c>
      <c r="O232" s="14">
        <v>0.6</v>
      </c>
      <c r="P232" s="113">
        <f t="shared" si="643"/>
        <v>3</v>
      </c>
      <c r="Q232" s="114">
        <f t="shared" si="644"/>
        <v>0</v>
      </c>
      <c r="R232" s="114">
        <f t="shared" si="645"/>
        <v>0.6</v>
      </c>
      <c r="S232" s="114">
        <f t="shared" si="646"/>
        <v>0</v>
      </c>
      <c r="T232" s="93">
        <f t="shared" si="647"/>
        <v>1</v>
      </c>
      <c r="U232" t="s">
        <v>0</v>
      </c>
      <c r="V232" s="79"/>
      <c r="W232" s="76"/>
      <c r="X232" s="76"/>
      <c r="Y232" s="76"/>
      <c r="Z232" s="76"/>
      <c r="AA232" s="80"/>
      <c r="AB232" s="79"/>
      <c r="AC232" s="76"/>
      <c r="AD232" s="76"/>
      <c r="AE232" s="76"/>
      <c r="AF232" s="76"/>
      <c r="AG232" s="80"/>
      <c r="AH232" s="79"/>
      <c r="AI232" s="76"/>
      <c r="AJ232" s="76"/>
      <c r="AK232" s="76"/>
      <c r="AL232" s="76"/>
      <c r="AM232" s="80"/>
      <c r="AN232" s="79"/>
      <c r="AO232" s="76"/>
      <c r="AP232" s="76"/>
      <c r="AQ232" s="76"/>
      <c r="AR232" s="76"/>
      <c r="AS232" s="80">
        <v>2</v>
      </c>
      <c r="AT232" s="79"/>
      <c r="AU232" s="76"/>
      <c r="AV232" s="76"/>
      <c r="AW232" s="76">
        <v>1</v>
      </c>
      <c r="AX232" s="76"/>
      <c r="AY232" s="80"/>
      <c r="AZ232" s="79"/>
      <c r="BA232" s="76"/>
      <c r="BB232" s="76"/>
      <c r="BC232" s="76"/>
      <c r="BD232" s="76"/>
      <c r="BE232" s="80"/>
      <c r="BF232" s="79"/>
      <c r="BG232" s="76"/>
      <c r="BH232" s="76"/>
      <c r="BI232" s="76"/>
      <c r="BJ232" s="76"/>
      <c r="BK232" s="80"/>
      <c r="BM232" s="125">
        <f t="shared" si="648"/>
        <v>0</v>
      </c>
      <c r="BN232" s="126">
        <f t="shared" si="649"/>
        <v>0</v>
      </c>
      <c r="BO232" s="126">
        <f t="shared" si="650"/>
        <v>0</v>
      </c>
      <c r="BP232" s="126">
        <f t="shared" si="651"/>
        <v>2</v>
      </c>
      <c r="BQ232" s="126">
        <f>SUM(AT232:AY232)</f>
        <v>1</v>
      </c>
      <c r="BR232" s="126">
        <f t="shared" si="652"/>
        <v>0</v>
      </c>
      <c r="BS232" s="127">
        <f t="shared" si="653"/>
        <v>0</v>
      </c>
      <c r="BT232" s="74"/>
      <c r="BU232" s="125">
        <f t="shared" si="654"/>
        <v>0</v>
      </c>
      <c r="BV232" s="126">
        <f t="shared" si="655"/>
        <v>0</v>
      </c>
      <c r="BW232" s="126">
        <f t="shared" si="656"/>
        <v>0</v>
      </c>
      <c r="BX232" s="126">
        <f t="shared" si="657"/>
        <v>0.39999999999999997</v>
      </c>
      <c r="BY232" s="126">
        <f t="shared" si="658"/>
        <v>0.19999999999999998</v>
      </c>
      <c r="BZ232" s="126">
        <f t="shared" si="658"/>
        <v>0</v>
      </c>
      <c r="CA232" s="126">
        <f t="shared" si="658"/>
        <v>0</v>
      </c>
    </row>
    <row r="233" spans="1:79">
      <c r="A233" s="147" t="str">
        <f t="shared" si="577"/>
        <v>D</v>
      </c>
      <c r="B233" s="148">
        <f t="shared" si="578"/>
        <v>70000</v>
      </c>
      <c r="C233" s="149" t="s">
        <v>195</v>
      </c>
      <c r="D233" s="150" t="s">
        <v>0</v>
      </c>
      <c r="E233" s="150" t="s">
        <v>0</v>
      </c>
      <c r="F233" s="145" t="s">
        <v>181</v>
      </c>
      <c r="G233" s="150" t="s">
        <v>165</v>
      </c>
      <c r="H233" s="150" t="s">
        <v>0</v>
      </c>
      <c r="I233" s="150" t="s">
        <v>0</v>
      </c>
      <c r="J233" s="151" t="s">
        <v>0</v>
      </c>
      <c r="K233" s="13">
        <v>1</v>
      </c>
      <c r="L233" s="12" t="s">
        <v>32</v>
      </c>
      <c r="M233" s="13">
        <v>2</v>
      </c>
      <c r="N233" s="13">
        <v>0</v>
      </c>
      <c r="O233" s="14">
        <v>2</v>
      </c>
      <c r="P233" s="113">
        <f t="shared" si="643"/>
        <v>1</v>
      </c>
      <c r="Q233" s="114">
        <f t="shared" si="644"/>
        <v>0</v>
      </c>
      <c r="R233" s="114">
        <f t="shared" si="645"/>
        <v>2</v>
      </c>
      <c r="S233" s="114">
        <f t="shared" si="646"/>
        <v>0</v>
      </c>
      <c r="T233" s="93">
        <f t="shared" si="647"/>
        <v>1</v>
      </c>
      <c r="U233" t="s">
        <v>0</v>
      </c>
      <c r="V233" s="79"/>
      <c r="W233" s="76"/>
      <c r="X233" s="76"/>
      <c r="Y233" s="76"/>
      <c r="Z233" s="76"/>
      <c r="AA233" s="80"/>
      <c r="AB233" s="79"/>
      <c r="AC233" s="76"/>
      <c r="AD233" s="76"/>
      <c r="AE233" s="76"/>
      <c r="AF233" s="76"/>
      <c r="AG233" s="80"/>
      <c r="AH233" s="79"/>
      <c r="AI233" s="76"/>
      <c r="AJ233" s="76"/>
      <c r="AK233" s="76"/>
      <c r="AL233" s="76"/>
      <c r="AM233" s="80"/>
      <c r="AN233" s="79"/>
      <c r="AO233" s="76"/>
      <c r="AP233" s="76"/>
      <c r="AQ233" s="76"/>
      <c r="AR233" s="76"/>
      <c r="AS233" s="80">
        <v>0.5</v>
      </c>
      <c r="AT233" s="79"/>
      <c r="AU233" s="76"/>
      <c r="AV233" s="76"/>
      <c r="AW233" s="76">
        <v>0.5</v>
      </c>
      <c r="AX233" s="76"/>
      <c r="AY233" s="80"/>
      <c r="AZ233" s="79"/>
      <c r="BA233" s="76"/>
      <c r="BB233" s="76"/>
      <c r="BC233" s="76"/>
      <c r="BD233" s="76"/>
      <c r="BE233" s="80"/>
      <c r="BF233" s="79"/>
      <c r="BG233" s="76"/>
      <c r="BH233" s="76"/>
      <c r="BI233" s="76"/>
      <c r="BJ233" s="76"/>
      <c r="BK233" s="80"/>
      <c r="BM233" s="125">
        <f t="shared" si="648"/>
        <v>0</v>
      </c>
      <c r="BN233" s="126">
        <f t="shared" si="649"/>
        <v>0</v>
      </c>
      <c r="BO233" s="126">
        <f t="shared" si="650"/>
        <v>0</v>
      </c>
      <c r="BP233" s="126">
        <f t="shared" si="651"/>
        <v>0.5</v>
      </c>
      <c r="BQ233" s="126">
        <f>SUM(AT233:AY233)</f>
        <v>0.5</v>
      </c>
      <c r="BR233" s="126">
        <f t="shared" si="652"/>
        <v>0</v>
      </c>
      <c r="BS233" s="127">
        <f t="shared" si="653"/>
        <v>0</v>
      </c>
      <c r="BT233" s="74"/>
      <c r="BU233" s="125">
        <f t="shared" si="654"/>
        <v>0</v>
      </c>
      <c r="BV233" s="126">
        <f t="shared" si="655"/>
        <v>0</v>
      </c>
      <c r="BW233" s="126">
        <f t="shared" si="656"/>
        <v>0</v>
      </c>
      <c r="BX233" s="126">
        <f t="shared" si="657"/>
        <v>1</v>
      </c>
      <c r="BY233" s="126">
        <f t="shared" si="658"/>
        <v>1</v>
      </c>
      <c r="BZ233" s="126">
        <f t="shared" si="658"/>
        <v>0</v>
      </c>
      <c r="CA233" s="126">
        <f t="shared" si="658"/>
        <v>0</v>
      </c>
    </row>
    <row r="234" spans="1:79" ht="15.75">
      <c r="A234" s="152" t="str">
        <f t="shared" si="577"/>
        <v>P</v>
      </c>
      <c r="B234" s="153">
        <f t="shared" si="578"/>
        <v>70000</v>
      </c>
      <c r="C234" s="154" t="s">
        <v>197</v>
      </c>
      <c r="D234" s="155" t="s">
        <v>0</v>
      </c>
      <c r="E234" s="155" t="s">
        <v>0</v>
      </c>
      <c r="F234" s="156" t="s">
        <v>198</v>
      </c>
      <c r="G234" s="155" t="s">
        <v>165</v>
      </c>
      <c r="H234" s="155" t="s">
        <v>0</v>
      </c>
      <c r="I234" s="155" t="s">
        <v>0</v>
      </c>
      <c r="J234" s="157" t="s">
        <v>0</v>
      </c>
      <c r="K234" s="9">
        <v>10</v>
      </c>
      <c r="L234" s="8" t="s">
        <v>56</v>
      </c>
      <c r="M234" s="9">
        <v>7.35</v>
      </c>
      <c r="N234" s="9">
        <v>0</v>
      </c>
      <c r="O234" s="10">
        <v>7.35</v>
      </c>
      <c r="P234" s="111"/>
      <c r="Q234" s="112"/>
      <c r="R234" s="112">
        <f>SUMIFS(R235:R$415,$C235:$C$415,$C234)</f>
        <v>7.35</v>
      </c>
      <c r="S234" s="112">
        <f>SUMIFS(S235:S$415,$C235:$C$415,$C234)</f>
        <v>0</v>
      </c>
      <c r="T234" s="92">
        <f>R234/O234</f>
        <v>1</v>
      </c>
      <c r="V234" s="77"/>
      <c r="W234" s="75"/>
      <c r="X234" s="75"/>
      <c r="Y234" s="75"/>
      <c r="Z234" s="75"/>
      <c r="AA234" s="78"/>
      <c r="AB234" s="77"/>
      <c r="AC234" s="75"/>
      <c r="AD234" s="75"/>
      <c r="AE234" s="75"/>
      <c r="AF234" s="75"/>
      <c r="AG234" s="78"/>
      <c r="AH234" s="77"/>
      <c r="AI234" s="75"/>
      <c r="AJ234" s="75"/>
      <c r="AK234" s="75"/>
      <c r="AL234" s="75"/>
      <c r="AM234" s="78"/>
      <c r="AN234" s="77"/>
      <c r="AO234" s="75"/>
      <c r="AP234" s="75"/>
      <c r="AQ234" s="75"/>
      <c r="AR234" s="75"/>
      <c r="AS234" s="78"/>
      <c r="AT234" s="77"/>
      <c r="AU234" s="75"/>
      <c r="AV234" s="75"/>
      <c r="AW234" s="75"/>
      <c r="AX234" s="75"/>
      <c r="AY234" s="78"/>
      <c r="AZ234" s="77"/>
      <c r="BA234" s="75"/>
      <c r="BB234" s="75"/>
      <c r="BC234" s="75"/>
      <c r="BD234" s="75"/>
      <c r="BE234" s="78"/>
      <c r="BF234" s="77"/>
      <c r="BG234" s="75"/>
      <c r="BH234" s="75"/>
      <c r="BI234" s="75"/>
      <c r="BJ234" s="75"/>
      <c r="BK234" s="78"/>
      <c r="BM234" s="122"/>
      <c r="BN234" s="123"/>
      <c r="BO234" s="123"/>
      <c r="BP234" s="123"/>
      <c r="BQ234" s="123"/>
      <c r="BR234" s="123"/>
      <c r="BS234" s="124"/>
      <c r="BT234" s="74"/>
      <c r="BU234" s="122"/>
      <c r="BV234" s="123"/>
      <c r="BW234" s="123"/>
      <c r="BX234" s="123"/>
      <c r="BY234" s="123"/>
      <c r="BZ234" s="123"/>
      <c r="CA234" s="123"/>
    </row>
    <row r="235" spans="1:79">
      <c r="A235" s="147" t="str">
        <f t="shared" si="577"/>
        <v>D</v>
      </c>
      <c r="B235" s="148">
        <f t="shared" si="578"/>
        <v>70000</v>
      </c>
      <c r="C235" s="149" t="s">
        <v>197</v>
      </c>
      <c r="D235" s="150" t="s">
        <v>0</v>
      </c>
      <c r="E235" s="150" t="s">
        <v>0</v>
      </c>
      <c r="F235" s="145" t="s">
        <v>176</v>
      </c>
      <c r="G235" s="150" t="s">
        <v>165</v>
      </c>
      <c r="H235" s="150" t="s">
        <v>0</v>
      </c>
      <c r="I235" s="150" t="s">
        <v>0</v>
      </c>
      <c r="J235" s="151" t="s">
        <v>0</v>
      </c>
      <c r="K235" s="13">
        <v>10</v>
      </c>
      <c r="L235" s="12" t="s">
        <v>56</v>
      </c>
      <c r="M235" s="13">
        <v>2.5</v>
      </c>
      <c r="N235" s="13">
        <v>0</v>
      </c>
      <c r="O235" s="14">
        <v>2.5</v>
      </c>
      <c r="P235" s="113">
        <f t="shared" ref="P235:P238" si="659">SUM(BM235:BS235)</f>
        <v>10</v>
      </c>
      <c r="Q235" s="114">
        <f t="shared" ref="Q235:Q238" si="660">K235-P235</f>
        <v>0</v>
      </c>
      <c r="R235" s="114">
        <f t="shared" ref="R235:R238" si="661">SUM(BU235:CA235)</f>
        <v>2.5</v>
      </c>
      <c r="S235" s="114">
        <f t="shared" ref="S235:S238" si="662">O235-R235</f>
        <v>0</v>
      </c>
      <c r="T235" s="93">
        <f t="shared" ref="T235:T238" si="663">R235/O235</f>
        <v>1</v>
      </c>
      <c r="U235" t="s">
        <v>0</v>
      </c>
      <c r="V235" s="79"/>
      <c r="W235" s="76"/>
      <c r="X235" s="76"/>
      <c r="Y235" s="76"/>
      <c r="Z235" s="76"/>
      <c r="AA235" s="80"/>
      <c r="AB235" s="79"/>
      <c r="AC235" s="76"/>
      <c r="AD235" s="76"/>
      <c r="AE235" s="76"/>
      <c r="AF235" s="76"/>
      <c r="AG235" s="80"/>
      <c r="AH235" s="79"/>
      <c r="AI235" s="76"/>
      <c r="AJ235" s="76"/>
      <c r="AK235" s="76"/>
      <c r="AL235" s="76"/>
      <c r="AM235" s="80"/>
      <c r="AN235" s="79"/>
      <c r="AO235" s="76"/>
      <c r="AP235" s="76"/>
      <c r="AQ235" s="76"/>
      <c r="AR235" s="76"/>
      <c r="AS235" s="80">
        <v>8</v>
      </c>
      <c r="AT235" s="79"/>
      <c r="AU235" s="76"/>
      <c r="AV235" s="76"/>
      <c r="AW235" s="76">
        <v>2</v>
      </c>
      <c r="AX235" s="76"/>
      <c r="AY235" s="80"/>
      <c r="AZ235" s="79"/>
      <c r="BA235" s="76"/>
      <c r="BB235" s="76"/>
      <c r="BC235" s="76"/>
      <c r="BD235" s="76"/>
      <c r="BE235" s="80"/>
      <c r="BF235" s="79"/>
      <c r="BG235" s="76"/>
      <c r="BH235" s="76"/>
      <c r="BI235" s="76"/>
      <c r="BJ235" s="76"/>
      <c r="BK235" s="80"/>
      <c r="BM235" s="125">
        <f t="shared" ref="BM235:BM238" si="664">SUM(V235:AA235)</f>
        <v>0</v>
      </c>
      <c r="BN235" s="126">
        <f t="shared" ref="BN235:BN238" si="665">SUM(AB235:AG235)</f>
        <v>0</v>
      </c>
      <c r="BO235" s="126">
        <f t="shared" ref="BO235:BO238" si="666">SUM(AH235:AM235)</f>
        <v>0</v>
      </c>
      <c r="BP235" s="126">
        <f t="shared" ref="BP235:BP238" si="667">SUM(AN235:AS235)</f>
        <v>8</v>
      </c>
      <c r="BQ235" s="126">
        <f>SUM(AT235:AY235)</f>
        <v>2</v>
      </c>
      <c r="BR235" s="126">
        <f t="shared" ref="BR235:BS238" si="668">SUM(AZ235:BE235)</f>
        <v>0</v>
      </c>
      <c r="BS235" s="127">
        <f t="shared" ref="BS235:BS238" si="669">SUM(BF235:BK235)</f>
        <v>0</v>
      </c>
      <c r="BT235" s="74"/>
      <c r="BU235" s="125">
        <f t="shared" ref="BU235:BU238" si="670">(BM235/$K235)*$O235</f>
        <v>0</v>
      </c>
      <c r="BV235" s="126">
        <f t="shared" ref="BV235:BV238" si="671">(BN235/$K235)*$O235</f>
        <v>0</v>
      </c>
      <c r="BW235" s="126">
        <f t="shared" ref="BW235:BW238" si="672">(BO235/$K235)*$O235</f>
        <v>0</v>
      </c>
      <c r="BX235" s="126">
        <f t="shared" ref="BX235:BX238" si="673">(BP235/$K235)*$O235</f>
        <v>2</v>
      </c>
      <c r="BY235" s="126">
        <f t="shared" ref="BY235:CA238" si="674">(BQ235/$K235)*$O235</f>
        <v>0.5</v>
      </c>
      <c r="BZ235" s="126">
        <f t="shared" si="674"/>
        <v>0</v>
      </c>
      <c r="CA235" s="126">
        <f t="shared" si="674"/>
        <v>0</v>
      </c>
    </row>
    <row r="236" spans="1:79">
      <c r="A236" s="147" t="str">
        <f t="shared" si="577"/>
        <v>D</v>
      </c>
      <c r="B236" s="148">
        <f t="shared" si="578"/>
        <v>70000</v>
      </c>
      <c r="C236" s="149" t="s">
        <v>197</v>
      </c>
      <c r="D236" s="150" t="s">
        <v>0</v>
      </c>
      <c r="E236" s="150" t="s">
        <v>0</v>
      </c>
      <c r="F236" s="145" t="s">
        <v>194</v>
      </c>
      <c r="G236" s="150" t="s">
        <v>165</v>
      </c>
      <c r="H236" s="150" t="s">
        <v>0</v>
      </c>
      <c r="I236" s="150" t="s">
        <v>0</v>
      </c>
      <c r="J236" s="151" t="s">
        <v>0</v>
      </c>
      <c r="K236" s="13">
        <v>1</v>
      </c>
      <c r="L236" s="12" t="s">
        <v>32</v>
      </c>
      <c r="M236" s="13">
        <v>0.5</v>
      </c>
      <c r="N236" s="13">
        <v>0</v>
      </c>
      <c r="O236" s="14">
        <v>0.5</v>
      </c>
      <c r="P236" s="113">
        <f t="shared" si="659"/>
        <v>1</v>
      </c>
      <c r="Q236" s="114">
        <f t="shared" si="660"/>
        <v>0</v>
      </c>
      <c r="R236" s="114">
        <f t="shared" si="661"/>
        <v>0.5</v>
      </c>
      <c r="S236" s="114">
        <f t="shared" si="662"/>
        <v>0</v>
      </c>
      <c r="T236" s="93">
        <f t="shared" si="663"/>
        <v>1</v>
      </c>
      <c r="U236" t="s">
        <v>0</v>
      </c>
      <c r="V236" s="79"/>
      <c r="W236" s="76"/>
      <c r="X236" s="76"/>
      <c r="Y236" s="76"/>
      <c r="Z236" s="76"/>
      <c r="AA236" s="80"/>
      <c r="AB236" s="79"/>
      <c r="AC236" s="76"/>
      <c r="AD236" s="76"/>
      <c r="AE236" s="76"/>
      <c r="AF236" s="76"/>
      <c r="AG236" s="80"/>
      <c r="AH236" s="79"/>
      <c r="AI236" s="76"/>
      <c r="AJ236" s="76"/>
      <c r="AK236" s="76"/>
      <c r="AL236" s="76"/>
      <c r="AM236" s="80"/>
      <c r="AN236" s="79"/>
      <c r="AO236" s="76"/>
      <c r="AP236" s="76"/>
      <c r="AQ236" s="76"/>
      <c r="AR236" s="76"/>
      <c r="AS236" s="80">
        <v>0.5</v>
      </c>
      <c r="AT236" s="79"/>
      <c r="AU236" s="76"/>
      <c r="AV236" s="76"/>
      <c r="AW236" s="76">
        <v>0.5</v>
      </c>
      <c r="AX236" s="76"/>
      <c r="AY236" s="80"/>
      <c r="AZ236" s="79"/>
      <c r="BA236" s="76"/>
      <c r="BB236" s="76"/>
      <c r="BC236" s="76"/>
      <c r="BD236" s="76"/>
      <c r="BE236" s="80"/>
      <c r="BF236" s="79"/>
      <c r="BG236" s="76"/>
      <c r="BH236" s="76"/>
      <c r="BI236" s="76"/>
      <c r="BJ236" s="76"/>
      <c r="BK236" s="80"/>
      <c r="BM236" s="125">
        <f t="shared" si="664"/>
        <v>0</v>
      </c>
      <c r="BN236" s="126">
        <f t="shared" si="665"/>
        <v>0</v>
      </c>
      <c r="BO236" s="126">
        <f t="shared" si="666"/>
        <v>0</v>
      </c>
      <c r="BP236" s="126">
        <f t="shared" si="667"/>
        <v>0.5</v>
      </c>
      <c r="BQ236" s="126">
        <f>SUM(AT236:AY236)</f>
        <v>0.5</v>
      </c>
      <c r="BR236" s="126">
        <f t="shared" si="668"/>
        <v>0</v>
      </c>
      <c r="BS236" s="127">
        <f t="shared" si="669"/>
        <v>0</v>
      </c>
      <c r="BT236" s="74"/>
      <c r="BU236" s="125">
        <f t="shared" si="670"/>
        <v>0</v>
      </c>
      <c r="BV236" s="126">
        <f t="shared" si="671"/>
        <v>0</v>
      </c>
      <c r="BW236" s="126">
        <f t="shared" si="672"/>
        <v>0</v>
      </c>
      <c r="BX236" s="126">
        <f t="shared" si="673"/>
        <v>0.25</v>
      </c>
      <c r="BY236" s="126">
        <f t="shared" si="674"/>
        <v>0.25</v>
      </c>
      <c r="BZ236" s="126">
        <f t="shared" si="674"/>
        <v>0</v>
      </c>
      <c r="CA236" s="126">
        <f t="shared" si="674"/>
        <v>0</v>
      </c>
    </row>
    <row r="237" spans="1:79">
      <c r="A237" s="147" t="str">
        <f t="shared" si="577"/>
        <v>D</v>
      </c>
      <c r="B237" s="148">
        <f t="shared" si="578"/>
        <v>70000</v>
      </c>
      <c r="C237" s="149" t="s">
        <v>197</v>
      </c>
      <c r="D237" s="150" t="s">
        <v>0</v>
      </c>
      <c r="E237" s="150" t="s">
        <v>0</v>
      </c>
      <c r="F237" s="145" t="s">
        <v>180</v>
      </c>
      <c r="G237" s="150" t="s">
        <v>165</v>
      </c>
      <c r="H237" s="150" t="s">
        <v>0</v>
      </c>
      <c r="I237" s="150" t="s">
        <v>0</v>
      </c>
      <c r="J237" s="151" t="s">
        <v>0</v>
      </c>
      <c r="K237" s="13">
        <v>3</v>
      </c>
      <c r="L237" s="12" t="s">
        <v>32</v>
      </c>
      <c r="M237" s="13">
        <v>3.75</v>
      </c>
      <c r="N237" s="13">
        <v>0</v>
      </c>
      <c r="O237" s="14">
        <v>3.75</v>
      </c>
      <c r="P237" s="113">
        <f t="shared" si="659"/>
        <v>3</v>
      </c>
      <c r="Q237" s="114">
        <f t="shared" si="660"/>
        <v>0</v>
      </c>
      <c r="R237" s="114">
        <f t="shared" si="661"/>
        <v>3.75</v>
      </c>
      <c r="S237" s="114">
        <f t="shared" si="662"/>
        <v>0</v>
      </c>
      <c r="T237" s="93">
        <f t="shared" si="663"/>
        <v>1</v>
      </c>
      <c r="U237" t="s">
        <v>0</v>
      </c>
      <c r="V237" s="79"/>
      <c r="W237" s="76"/>
      <c r="X237" s="76"/>
      <c r="Y237" s="76"/>
      <c r="Z237" s="76"/>
      <c r="AA237" s="80"/>
      <c r="AB237" s="79"/>
      <c r="AC237" s="76"/>
      <c r="AD237" s="76"/>
      <c r="AE237" s="76"/>
      <c r="AF237" s="76"/>
      <c r="AG237" s="80"/>
      <c r="AH237" s="79"/>
      <c r="AI237" s="76"/>
      <c r="AJ237" s="76"/>
      <c r="AK237" s="76"/>
      <c r="AL237" s="76"/>
      <c r="AM237" s="80"/>
      <c r="AN237" s="79"/>
      <c r="AO237" s="76"/>
      <c r="AP237" s="76"/>
      <c r="AQ237" s="76"/>
      <c r="AR237" s="76"/>
      <c r="AS237" s="80">
        <v>2</v>
      </c>
      <c r="AT237" s="79"/>
      <c r="AU237" s="76"/>
      <c r="AV237" s="76"/>
      <c r="AW237" s="76">
        <v>1</v>
      </c>
      <c r="AX237" s="76"/>
      <c r="AY237" s="80"/>
      <c r="AZ237" s="79"/>
      <c r="BA237" s="76"/>
      <c r="BB237" s="76"/>
      <c r="BC237" s="76"/>
      <c r="BD237" s="76"/>
      <c r="BE237" s="80"/>
      <c r="BF237" s="79"/>
      <c r="BG237" s="76"/>
      <c r="BH237" s="76"/>
      <c r="BI237" s="76"/>
      <c r="BJ237" s="76"/>
      <c r="BK237" s="80"/>
      <c r="BM237" s="125">
        <f t="shared" si="664"/>
        <v>0</v>
      </c>
      <c r="BN237" s="126">
        <f t="shared" si="665"/>
        <v>0</v>
      </c>
      <c r="BO237" s="126">
        <f t="shared" si="666"/>
        <v>0</v>
      </c>
      <c r="BP237" s="126">
        <f t="shared" si="667"/>
        <v>2</v>
      </c>
      <c r="BQ237" s="126">
        <f>SUM(AT237:AY237)</f>
        <v>1</v>
      </c>
      <c r="BR237" s="126">
        <f t="shared" si="668"/>
        <v>0</v>
      </c>
      <c r="BS237" s="127">
        <f t="shared" si="669"/>
        <v>0</v>
      </c>
      <c r="BT237" s="74"/>
      <c r="BU237" s="125">
        <f t="shared" si="670"/>
        <v>0</v>
      </c>
      <c r="BV237" s="126">
        <f t="shared" si="671"/>
        <v>0</v>
      </c>
      <c r="BW237" s="126">
        <f t="shared" si="672"/>
        <v>0</v>
      </c>
      <c r="BX237" s="126">
        <f t="shared" si="673"/>
        <v>2.5</v>
      </c>
      <c r="BY237" s="126">
        <f t="shared" si="674"/>
        <v>1.25</v>
      </c>
      <c r="BZ237" s="126">
        <f t="shared" si="674"/>
        <v>0</v>
      </c>
      <c r="CA237" s="126">
        <f t="shared" si="674"/>
        <v>0</v>
      </c>
    </row>
    <row r="238" spans="1:79">
      <c r="A238" s="147" t="str">
        <f t="shared" si="577"/>
        <v>D</v>
      </c>
      <c r="B238" s="148">
        <f t="shared" si="578"/>
        <v>70000</v>
      </c>
      <c r="C238" s="149" t="s">
        <v>197</v>
      </c>
      <c r="D238" s="150" t="s">
        <v>0</v>
      </c>
      <c r="E238" s="150" t="s">
        <v>0</v>
      </c>
      <c r="F238" s="145" t="s">
        <v>171</v>
      </c>
      <c r="G238" s="150" t="s">
        <v>165</v>
      </c>
      <c r="H238" s="150" t="s">
        <v>0</v>
      </c>
      <c r="I238" s="150" t="s">
        <v>0</v>
      </c>
      <c r="J238" s="151" t="s">
        <v>0</v>
      </c>
      <c r="K238" s="13">
        <v>3</v>
      </c>
      <c r="L238" s="12" t="s">
        <v>32</v>
      </c>
      <c r="M238" s="13">
        <v>0.6</v>
      </c>
      <c r="N238" s="13">
        <v>0</v>
      </c>
      <c r="O238" s="14">
        <v>0.6</v>
      </c>
      <c r="P238" s="113">
        <f t="shared" si="659"/>
        <v>3</v>
      </c>
      <c r="Q238" s="114">
        <f t="shared" si="660"/>
        <v>0</v>
      </c>
      <c r="R238" s="114">
        <f t="shared" si="661"/>
        <v>0.6</v>
      </c>
      <c r="S238" s="114">
        <f t="shared" si="662"/>
        <v>0</v>
      </c>
      <c r="T238" s="93">
        <f t="shared" si="663"/>
        <v>1</v>
      </c>
      <c r="U238" t="s">
        <v>0</v>
      </c>
      <c r="V238" s="79"/>
      <c r="W238" s="76"/>
      <c r="X238" s="76"/>
      <c r="Y238" s="76"/>
      <c r="Z238" s="76"/>
      <c r="AA238" s="80"/>
      <c r="AB238" s="79"/>
      <c r="AC238" s="76"/>
      <c r="AD238" s="76"/>
      <c r="AE238" s="76"/>
      <c r="AF238" s="76"/>
      <c r="AG238" s="80"/>
      <c r="AH238" s="79"/>
      <c r="AI238" s="76"/>
      <c r="AJ238" s="76"/>
      <c r="AK238" s="76"/>
      <c r="AL238" s="76"/>
      <c r="AM238" s="80"/>
      <c r="AN238" s="79"/>
      <c r="AO238" s="76"/>
      <c r="AP238" s="76"/>
      <c r="AQ238" s="76"/>
      <c r="AR238" s="76"/>
      <c r="AS238" s="80">
        <v>2</v>
      </c>
      <c r="AT238" s="79"/>
      <c r="AU238" s="76"/>
      <c r="AV238" s="76"/>
      <c r="AW238" s="76">
        <v>1</v>
      </c>
      <c r="AX238" s="76"/>
      <c r="AY238" s="80"/>
      <c r="AZ238" s="79"/>
      <c r="BA238" s="76"/>
      <c r="BB238" s="76"/>
      <c r="BC238" s="76"/>
      <c r="BD238" s="76"/>
      <c r="BE238" s="80"/>
      <c r="BF238" s="79"/>
      <c r="BG238" s="76"/>
      <c r="BH238" s="76"/>
      <c r="BI238" s="76"/>
      <c r="BJ238" s="76"/>
      <c r="BK238" s="80"/>
      <c r="BM238" s="125">
        <f t="shared" si="664"/>
        <v>0</v>
      </c>
      <c r="BN238" s="126">
        <f t="shared" si="665"/>
        <v>0</v>
      </c>
      <c r="BO238" s="126">
        <f t="shared" si="666"/>
        <v>0</v>
      </c>
      <c r="BP238" s="126">
        <f t="shared" si="667"/>
        <v>2</v>
      </c>
      <c r="BQ238" s="126">
        <f>SUM(AT238:AY238)</f>
        <v>1</v>
      </c>
      <c r="BR238" s="126">
        <f t="shared" si="668"/>
        <v>0</v>
      </c>
      <c r="BS238" s="127">
        <f t="shared" si="669"/>
        <v>0</v>
      </c>
      <c r="BT238" s="74"/>
      <c r="BU238" s="125">
        <f t="shared" si="670"/>
        <v>0</v>
      </c>
      <c r="BV238" s="126">
        <f t="shared" si="671"/>
        <v>0</v>
      </c>
      <c r="BW238" s="126">
        <f t="shared" si="672"/>
        <v>0</v>
      </c>
      <c r="BX238" s="126">
        <f t="shared" si="673"/>
        <v>0.39999999999999997</v>
      </c>
      <c r="BY238" s="126">
        <f t="shared" si="674"/>
        <v>0.19999999999999998</v>
      </c>
      <c r="BZ238" s="126">
        <f t="shared" si="674"/>
        <v>0</v>
      </c>
      <c r="CA238" s="126">
        <f t="shared" si="674"/>
        <v>0</v>
      </c>
    </row>
    <row r="239" spans="1:79" ht="15.75">
      <c r="A239" s="152" t="str">
        <f t="shared" si="577"/>
        <v>P</v>
      </c>
      <c r="B239" s="153">
        <f t="shared" si="578"/>
        <v>70000</v>
      </c>
      <c r="C239" s="154" t="s">
        <v>199</v>
      </c>
      <c r="D239" s="155" t="s">
        <v>0</v>
      </c>
      <c r="E239" s="155" t="s">
        <v>0</v>
      </c>
      <c r="F239" s="156" t="s">
        <v>200</v>
      </c>
      <c r="G239" s="155" t="s">
        <v>201</v>
      </c>
      <c r="H239" s="155" t="s">
        <v>0</v>
      </c>
      <c r="I239" s="155" t="s">
        <v>0</v>
      </c>
      <c r="J239" s="157" t="s">
        <v>54</v>
      </c>
      <c r="K239" s="9">
        <v>35</v>
      </c>
      <c r="L239" s="8" t="s">
        <v>56</v>
      </c>
      <c r="M239" s="9">
        <v>23.75</v>
      </c>
      <c r="N239" s="9">
        <v>2.75</v>
      </c>
      <c r="O239" s="10">
        <v>26.5</v>
      </c>
      <c r="P239" s="111"/>
      <c r="Q239" s="112"/>
      <c r="R239" s="112">
        <f>SUMIFS(R240:R$415,$C240:$C$415,$C239)</f>
        <v>26.5</v>
      </c>
      <c r="S239" s="112">
        <f>SUMIFS(S240:S$415,$C240:$C$415,$C239)</f>
        <v>0</v>
      </c>
      <c r="T239" s="92">
        <f>R239/O239</f>
        <v>1</v>
      </c>
      <c r="V239" s="77"/>
      <c r="W239" s="75"/>
      <c r="X239" s="75"/>
      <c r="Y239" s="75"/>
      <c r="Z239" s="75"/>
      <c r="AA239" s="78"/>
      <c r="AB239" s="77"/>
      <c r="AC239" s="75"/>
      <c r="AD239" s="75"/>
      <c r="AE239" s="75"/>
      <c r="AF239" s="75"/>
      <c r="AG239" s="78"/>
      <c r="AH239" s="77"/>
      <c r="AI239" s="75"/>
      <c r="AJ239" s="75"/>
      <c r="AK239" s="75"/>
      <c r="AL239" s="75"/>
      <c r="AM239" s="78"/>
      <c r="AN239" s="77"/>
      <c r="AO239" s="75"/>
      <c r="AP239" s="75"/>
      <c r="AQ239" s="75"/>
      <c r="AR239" s="75"/>
      <c r="AS239" s="78"/>
      <c r="AT239" s="77"/>
      <c r="AU239" s="75"/>
      <c r="AV239" s="75"/>
      <c r="AW239" s="75"/>
      <c r="AX239" s="75"/>
      <c r="AY239" s="78"/>
      <c r="AZ239" s="77"/>
      <c r="BA239" s="75"/>
      <c r="BB239" s="75"/>
      <c r="BC239" s="75"/>
      <c r="BD239" s="75"/>
      <c r="BE239" s="78"/>
      <c r="BF239" s="77"/>
      <c r="BG239" s="75"/>
      <c r="BH239" s="75"/>
      <c r="BI239" s="75"/>
      <c r="BJ239" s="75"/>
      <c r="BK239" s="78"/>
      <c r="BM239" s="122"/>
      <c r="BN239" s="123"/>
      <c r="BO239" s="123"/>
      <c r="BP239" s="123"/>
      <c r="BQ239" s="123"/>
      <c r="BR239" s="123"/>
      <c r="BS239" s="124"/>
      <c r="BT239" s="74"/>
      <c r="BU239" s="122"/>
      <c r="BV239" s="123"/>
      <c r="BW239" s="123"/>
      <c r="BX239" s="123"/>
      <c r="BY239" s="123"/>
      <c r="BZ239" s="123"/>
      <c r="CA239" s="123"/>
    </row>
    <row r="240" spans="1:79">
      <c r="A240" s="147" t="str">
        <f t="shared" si="577"/>
        <v>D</v>
      </c>
      <c r="B240" s="148">
        <f t="shared" si="578"/>
        <v>70000</v>
      </c>
      <c r="C240" s="149" t="s">
        <v>199</v>
      </c>
      <c r="D240" s="150" t="s">
        <v>0</v>
      </c>
      <c r="E240" s="150" t="s">
        <v>0</v>
      </c>
      <c r="F240" s="145" t="s">
        <v>176</v>
      </c>
      <c r="G240" s="150" t="s">
        <v>201</v>
      </c>
      <c r="H240" s="150" t="s">
        <v>0</v>
      </c>
      <c r="I240" s="150" t="s">
        <v>0</v>
      </c>
      <c r="J240" s="151" t="s">
        <v>54</v>
      </c>
      <c r="K240" s="13">
        <v>35</v>
      </c>
      <c r="L240" s="12" t="s">
        <v>56</v>
      </c>
      <c r="M240" s="13">
        <v>8.75</v>
      </c>
      <c r="N240" s="13">
        <v>0</v>
      </c>
      <c r="O240" s="14">
        <v>8.75</v>
      </c>
      <c r="P240" s="113">
        <f t="shared" ref="P240:P244" si="675">SUM(BM240:BS240)</f>
        <v>35</v>
      </c>
      <c r="Q240" s="114">
        <f t="shared" ref="Q240:Q244" si="676">K240-P240</f>
        <v>0</v>
      </c>
      <c r="R240" s="114">
        <f t="shared" ref="R240:R244" si="677">SUM(BU240:CA240)</f>
        <v>8.75</v>
      </c>
      <c r="S240" s="114">
        <f t="shared" ref="S240:S244" si="678">O240-R240</f>
        <v>0</v>
      </c>
      <c r="T240" s="93">
        <f t="shared" ref="T240:T244" si="679">R240/O240</f>
        <v>1</v>
      </c>
      <c r="U240" t="s">
        <v>0</v>
      </c>
      <c r="V240" s="79"/>
      <c r="W240" s="76"/>
      <c r="X240" s="76"/>
      <c r="Y240" s="76"/>
      <c r="Z240" s="76"/>
      <c r="AA240" s="80"/>
      <c r="AB240" s="79"/>
      <c r="AC240" s="76"/>
      <c r="AD240" s="76"/>
      <c r="AE240" s="76"/>
      <c r="AF240" s="76"/>
      <c r="AG240" s="80"/>
      <c r="AH240" s="79"/>
      <c r="AI240" s="76"/>
      <c r="AJ240" s="76"/>
      <c r="AK240" s="76"/>
      <c r="AL240" s="76">
        <v>35</v>
      </c>
      <c r="AM240" s="80"/>
      <c r="AN240" s="79"/>
      <c r="AO240" s="76"/>
      <c r="AP240" s="76"/>
      <c r="AQ240" s="76"/>
      <c r="AR240" s="76"/>
      <c r="AS240" s="80"/>
      <c r="AT240" s="79"/>
      <c r="AU240" s="76"/>
      <c r="AV240" s="76"/>
      <c r="AW240" s="76"/>
      <c r="AX240" s="76"/>
      <c r="AY240" s="80"/>
      <c r="AZ240" s="79"/>
      <c r="BA240" s="76"/>
      <c r="BB240" s="76"/>
      <c r="BC240" s="76"/>
      <c r="BD240" s="76"/>
      <c r="BE240" s="80"/>
      <c r="BF240" s="79"/>
      <c r="BG240" s="76"/>
      <c r="BH240" s="76"/>
      <c r="BI240" s="76"/>
      <c r="BJ240" s="76"/>
      <c r="BK240" s="80"/>
      <c r="BM240" s="125">
        <f t="shared" ref="BM240:BM244" si="680">SUM(V240:AA240)</f>
        <v>0</v>
      </c>
      <c r="BN240" s="126">
        <f t="shared" ref="BN240:BN244" si="681">SUM(AB240:AG240)</f>
        <v>0</v>
      </c>
      <c r="BO240" s="126">
        <f t="shared" ref="BO240:BO244" si="682">SUM(AH240:AM240)</f>
        <v>35</v>
      </c>
      <c r="BP240" s="126">
        <f t="shared" ref="BP240:BP244" si="683">SUM(AN240:AS240)</f>
        <v>0</v>
      </c>
      <c r="BQ240" s="126">
        <f>SUM(AT240:AY240)</f>
        <v>0</v>
      </c>
      <c r="BR240" s="126">
        <f t="shared" ref="BR240:BS244" si="684">SUM(AZ240:BE240)</f>
        <v>0</v>
      </c>
      <c r="BS240" s="127">
        <f t="shared" ref="BS240:BS244" si="685">SUM(BF240:BK240)</f>
        <v>0</v>
      </c>
      <c r="BT240" s="74"/>
      <c r="BU240" s="125">
        <f t="shared" ref="BU240:BU244" si="686">(BM240/$K240)*$O240</f>
        <v>0</v>
      </c>
      <c r="BV240" s="126">
        <f t="shared" ref="BV240:BV244" si="687">(BN240/$K240)*$O240</f>
        <v>0</v>
      </c>
      <c r="BW240" s="126">
        <f t="shared" ref="BW240:BW244" si="688">(BO240/$K240)*$O240</f>
        <v>8.75</v>
      </c>
      <c r="BX240" s="126">
        <f t="shared" ref="BX240:BX244" si="689">(BP240/$K240)*$O240</f>
        <v>0</v>
      </c>
      <c r="BY240" s="126">
        <f t="shared" ref="BY240:CA244" si="690">(BQ240/$K240)*$O240</f>
        <v>0</v>
      </c>
      <c r="BZ240" s="126">
        <f t="shared" si="690"/>
        <v>0</v>
      </c>
      <c r="CA240" s="126">
        <f t="shared" si="690"/>
        <v>0</v>
      </c>
    </row>
    <row r="241" spans="1:79">
      <c r="A241" s="147" t="str">
        <f t="shared" si="577"/>
        <v>D</v>
      </c>
      <c r="B241" s="148">
        <f t="shared" si="578"/>
        <v>70000</v>
      </c>
      <c r="C241" s="149" t="s">
        <v>199</v>
      </c>
      <c r="D241" s="150" t="s">
        <v>0</v>
      </c>
      <c r="E241" s="150" t="s">
        <v>0</v>
      </c>
      <c r="F241" s="145" t="s">
        <v>177</v>
      </c>
      <c r="G241" s="150" t="s">
        <v>201</v>
      </c>
      <c r="H241" s="150" t="s">
        <v>0</v>
      </c>
      <c r="I241" s="150" t="s">
        <v>0</v>
      </c>
      <c r="J241" s="151" t="s">
        <v>54</v>
      </c>
      <c r="K241" s="13">
        <v>1</v>
      </c>
      <c r="L241" s="12" t="s">
        <v>32</v>
      </c>
      <c r="M241" s="13">
        <v>2.5</v>
      </c>
      <c r="N241" s="13">
        <v>2.75</v>
      </c>
      <c r="O241" s="14">
        <v>5.25</v>
      </c>
      <c r="P241" s="113">
        <f t="shared" si="675"/>
        <v>1</v>
      </c>
      <c r="Q241" s="114">
        <f t="shared" si="676"/>
        <v>0</v>
      </c>
      <c r="R241" s="114">
        <f t="shared" si="677"/>
        <v>5.25</v>
      </c>
      <c r="S241" s="114">
        <f t="shared" si="678"/>
        <v>0</v>
      </c>
      <c r="T241" s="93">
        <f t="shared" si="679"/>
        <v>1</v>
      </c>
      <c r="U241" t="s">
        <v>0</v>
      </c>
      <c r="V241" s="79"/>
      <c r="W241" s="76"/>
      <c r="X241" s="76"/>
      <c r="Y241" s="76"/>
      <c r="Z241" s="76"/>
      <c r="AA241" s="80"/>
      <c r="AB241" s="79"/>
      <c r="AC241" s="76"/>
      <c r="AD241" s="76"/>
      <c r="AE241" s="76"/>
      <c r="AF241" s="76"/>
      <c r="AG241" s="80"/>
      <c r="AH241" s="79"/>
      <c r="AI241" s="76"/>
      <c r="AJ241" s="76"/>
      <c r="AK241" s="76"/>
      <c r="AL241" s="76">
        <v>1</v>
      </c>
      <c r="AM241" s="80"/>
      <c r="AN241" s="79"/>
      <c r="AO241" s="76"/>
      <c r="AP241" s="76"/>
      <c r="AQ241" s="76"/>
      <c r="AR241" s="76"/>
      <c r="AS241" s="80"/>
      <c r="AT241" s="79"/>
      <c r="AU241" s="76"/>
      <c r="AV241" s="76"/>
      <c r="AW241" s="76"/>
      <c r="AX241" s="76"/>
      <c r="AY241" s="80"/>
      <c r="AZ241" s="79"/>
      <c r="BA241" s="76"/>
      <c r="BB241" s="76"/>
      <c r="BC241" s="76"/>
      <c r="BD241" s="76"/>
      <c r="BE241" s="80"/>
      <c r="BF241" s="79"/>
      <c r="BG241" s="76"/>
      <c r="BH241" s="76"/>
      <c r="BI241" s="76"/>
      <c r="BJ241" s="76"/>
      <c r="BK241" s="80"/>
      <c r="BM241" s="125">
        <f t="shared" si="680"/>
        <v>0</v>
      </c>
      <c r="BN241" s="126">
        <f t="shared" si="681"/>
        <v>0</v>
      </c>
      <c r="BO241" s="126">
        <f t="shared" si="682"/>
        <v>1</v>
      </c>
      <c r="BP241" s="126">
        <f t="shared" si="683"/>
        <v>0</v>
      </c>
      <c r="BQ241" s="126">
        <f>SUM(AT241:AY241)</f>
        <v>0</v>
      </c>
      <c r="BR241" s="126">
        <f t="shared" si="684"/>
        <v>0</v>
      </c>
      <c r="BS241" s="127">
        <f t="shared" si="685"/>
        <v>0</v>
      </c>
      <c r="BT241" s="74"/>
      <c r="BU241" s="125">
        <f t="shared" si="686"/>
        <v>0</v>
      </c>
      <c r="BV241" s="126">
        <f t="shared" si="687"/>
        <v>0</v>
      </c>
      <c r="BW241" s="126">
        <f t="shared" si="688"/>
        <v>5.25</v>
      </c>
      <c r="BX241" s="126">
        <f t="shared" si="689"/>
        <v>0</v>
      </c>
      <c r="BY241" s="126">
        <f t="shared" si="690"/>
        <v>0</v>
      </c>
      <c r="BZ241" s="126">
        <f t="shared" si="690"/>
        <v>0</v>
      </c>
      <c r="CA241" s="126">
        <f t="shared" si="690"/>
        <v>0</v>
      </c>
    </row>
    <row r="242" spans="1:79">
      <c r="A242" s="147" t="str">
        <f t="shared" si="577"/>
        <v>D</v>
      </c>
      <c r="B242" s="148">
        <f t="shared" si="578"/>
        <v>70000</v>
      </c>
      <c r="C242" s="149" t="s">
        <v>199</v>
      </c>
      <c r="D242" s="150" t="s">
        <v>0</v>
      </c>
      <c r="E242" s="150" t="s">
        <v>0</v>
      </c>
      <c r="F242" s="145" t="s">
        <v>178</v>
      </c>
      <c r="G242" s="150" t="s">
        <v>201</v>
      </c>
      <c r="H242" s="150" t="s">
        <v>0</v>
      </c>
      <c r="I242" s="150" t="s">
        <v>0</v>
      </c>
      <c r="J242" s="151" t="s">
        <v>54</v>
      </c>
      <c r="K242" s="13">
        <v>1</v>
      </c>
      <c r="L242" s="12" t="s">
        <v>32</v>
      </c>
      <c r="M242" s="13">
        <v>2</v>
      </c>
      <c r="N242" s="13">
        <v>0</v>
      </c>
      <c r="O242" s="14">
        <v>2</v>
      </c>
      <c r="P242" s="113">
        <f t="shared" si="675"/>
        <v>1</v>
      </c>
      <c r="Q242" s="114">
        <f t="shared" si="676"/>
        <v>0</v>
      </c>
      <c r="R242" s="114">
        <f t="shared" si="677"/>
        <v>2</v>
      </c>
      <c r="S242" s="114">
        <f t="shared" si="678"/>
        <v>0</v>
      </c>
      <c r="T242" s="93">
        <f t="shared" si="679"/>
        <v>1</v>
      </c>
      <c r="U242" t="s">
        <v>0</v>
      </c>
      <c r="V242" s="79"/>
      <c r="W242" s="76"/>
      <c r="X242" s="76"/>
      <c r="Y242" s="76"/>
      <c r="Z242" s="76"/>
      <c r="AA242" s="80"/>
      <c r="AB242" s="79"/>
      <c r="AC242" s="76"/>
      <c r="AD242" s="76"/>
      <c r="AE242" s="76"/>
      <c r="AF242" s="76"/>
      <c r="AG242" s="80"/>
      <c r="AH242" s="79"/>
      <c r="AI242" s="76"/>
      <c r="AJ242" s="76"/>
      <c r="AK242" s="76"/>
      <c r="AL242" s="76">
        <v>1</v>
      </c>
      <c r="AM242" s="80"/>
      <c r="AN242" s="79"/>
      <c r="AO242" s="76"/>
      <c r="AP242" s="76"/>
      <c r="AQ242" s="76"/>
      <c r="AR242" s="76"/>
      <c r="AS242" s="80"/>
      <c r="AT242" s="79"/>
      <c r="AU242" s="76"/>
      <c r="AV242" s="76"/>
      <c r="AW242" s="76"/>
      <c r="AX242" s="76"/>
      <c r="AY242" s="80"/>
      <c r="AZ242" s="79"/>
      <c r="BA242" s="76"/>
      <c r="BB242" s="76"/>
      <c r="BC242" s="76"/>
      <c r="BD242" s="76"/>
      <c r="BE242" s="80"/>
      <c r="BF242" s="79"/>
      <c r="BG242" s="76"/>
      <c r="BH242" s="76"/>
      <c r="BI242" s="76"/>
      <c r="BJ242" s="76"/>
      <c r="BK242" s="80"/>
      <c r="BM242" s="125">
        <f t="shared" si="680"/>
        <v>0</v>
      </c>
      <c r="BN242" s="126">
        <f t="shared" si="681"/>
        <v>0</v>
      </c>
      <c r="BO242" s="126">
        <f t="shared" si="682"/>
        <v>1</v>
      </c>
      <c r="BP242" s="126">
        <f t="shared" si="683"/>
        <v>0</v>
      </c>
      <c r="BQ242" s="126">
        <f>SUM(AT242:AY242)</f>
        <v>0</v>
      </c>
      <c r="BR242" s="126">
        <f t="shared" si="684"/>
        <v>0</v>
      </c>
      <c r="BS242" s="127">
        <f t="shared" si="685"/>
        <v>0</v>
      </c>
      <c r="BT242" s="74"/>
      <c r="BU242" s="125">
        <f t="shared" si="686"/>
        <v>0</v>
      </c>
      <c r="BV242" s="126">
        <f t="shared" si="687"/>
        <v>0</v>
      </c>
      <c r="BW242" s="126">
        <f t="shared" si="688"/>
        <v>2</v>
      </c>
      <c r="BX242" s="126">
        <f t="shared" si="689"/>
        <v>0</v>
      </c>
      <c r="BY242" s="126">
        <f t="shared" si="690"/>
        <v>0</v>
      </c>
      <c r="BZ242" s="126">
        <f t="shared" si="690"/>
        <v>0</v>
      </c>
      <c r="CA242" s="126">
        <f t="shared" si="690"/>
        <v>0</v>
      </c>
    </row>
    <row r="243" spans="1:79">
      <c r="A243" s="147" t="str">
        <f t="shared" si="577"/>
        <v>D</v>
      </c>
      <c r="B243" s="148">
        <f t="shared" si="578"/>
        <v>70000</v>
      </c>
      <c r="C243" s="149" t="s">
        <v>199</v>
      </c>
      <c r="D243" s="150" t="s">
        <v>0</v>
      </c>
      <c r="E243" s="150" t="s">
        <v>0</v>
      </c>
      <c r="F243" s="145" t="s">
        <v>180</v>
      </c>
      <c r="G243" s="150" t="s">
        <v>201</v>
      </c>
      <c r="H243" s="150" t="s">
        <v>0</v>
      </c>
      <c r="I243" s="150" t="s">
        <v>0</v>
      </c>
      <c r="J243" s="151" t="s">
        <v>54</v>
      </c>
      <c r="K243" s="13">
        <v>3</v>
      </c>
      <c r="L243" s="12" t="s">
        <v>32</v>
      </c>
      <c r="M243" s="13">
        <v>4.5</v>
      </c>
      <c r="N243" s="13">
        <v>0</v>
      </c>
      <c r="O243" s="14">
        <v>4.5</v>
      </c>
      <c r="P243" s="113">
        <f t="shared" si="675"/>
        <v>3</v>
      </c>
      <c r="Q243" s="114">
        <f t="shared" si="676"/>
        <v>0</v>
      </c>
      <c r="R243" s="114">
        <f t="shared" si="677"/>
        <v>4.5</v>
      </c>
      <c r="S243" s="114">
        <f t="shared" si="678"/>
        <v>0</v>
      </c>
      <c r="T243" s="93">
        <f t="shared" si="679"/>
        <v>1</v>
      </c>
      <c r="U243" t="s">
        <v>0</v>
      </c>
      <c r="V243" s="79"/>
      <c r="W243" s="76"/>
      <c r="X243" s="76"/>
      <c r="Y243" s="76"/>
      <c r="Z243" s="76"/>
      <c r="AA243" s="80"/>
      <c r="AB243" s="79"/>
      <c r="AC243" s="76"/>
      <c r="AD243" s="76"/>
      <c r="AE243" s="76"/>
      <c r="AF243" s="76"/>
      <c r="AG243" s="80"/>
      <c r="AH243" s="79"/>
      <c r="AI243" s="76"/>
      <c r="AJ243" s="76"/>
      <c r="AK243" s="76"/>
      <c r="AL243" s="76">
        <v>3</v>
      </c>
      <c r="AM243" s="80"/>
      <c r="AN243" s="79"/>
      <c r="AO243" s="76"/>
      <c r="AP243" s="76"/>
      <c r="AQ243" s="76"/>
      <c r="AR243" s="76"/>
      <c r="AS243" s="80"/>
      <c r="AT243" s="79"/>
      <c r="AU243" s="76"/>
      <c r="AV243" s="76"/>
      <c r="AW243" s="76"/>
      <c r="AX243" s="76"/>
      <c r="AY243" s="80"/>
      <c r="AZ243" s="79"/>
      <c r="BA243" s="76"/>
      <c r="BB243" s="76"/>
      <c r="BC243" s="76"/>
      <c r="BD243" s="76"/>
      <c r="BE243" s="80"/>
      <c r="BF243" s="79"/>
      <c r="BG243" s="76"/>
      <c r="BH243" s="76"/>
      <c r="BI243" s="76"/>
      <c r="BJ243" s="76"/>
      <c r="BK243" s="80"/>
      <c r="BM243" s="125">
        <f t="shared" si="680"/>
        <v>0</v>
      </c>
      <c r="BN243" s="126">
        <f t="shared" si="681"/>
        <v>0</v>
      </c>
      <c r="BO243" s="126">
        <f t="shared" si="682"/>
        <v>3</v>
      </c>
      <c r="BP243" s="126">
        <f t="shared" si="683"/>
        <v>0</v>
      </c>
      <c r="BQ243" s="126">
        <f>SUM(AT243:AY243)</f>
        <v>0</v>
      </c>
      <c r="BR243" s="126">
        <f t="shared" si="684"/>
        <v>0</v>
      </c>
      <c r="BS243" s="127">
        <f t="shared" si="685"/>
        <v>0</v>
      </c>
      <c r="BT243" s="74"/>
      <c r="BU243" s="125">
        <f t="shared" si="686"/>
        <v>0</v>
      </c>
      <c r="BV243" s="126">
        <f t="shared" si="687"/>
        <v>0</v>
      </c>
      <c r="BW243" s="126">
        <f t="shared" si="688"/>
        <v>4.5</v>
      </c>
      <c r="BX243" s="126">
        <f t="shared" si="689"/>
        <v>0</v>
      </c>
      <c r="BY243" s="126">
        <f t="shared" si="690"/>
        <v>0</v>
      </c>
      <c r="BZ243" s="126">
        <f t="shared" si="690"/>
        <v>0</v>
      </c>
      <c r="CA243" s="126">
        <f t="shared" si="690"/>
        <v>0</v>
      </c>
    </row>
    <row r="244" spans="1:79">
      <c r="A244" s="147" t="str">
        <f t="shared" si="577"/>
        <v>D</v>
      </c>
      <c r="B244" s="148">
        <f t="shared" si="578"/>
        <v>70000</v>
      </c>
      <c r="C244" s="149" t="s">
        <v>199</v>
      </c>
      <c r="D244" s="150" t="s">
        <v>0</v>
      </c>
      <c r="E244" s="150" t="s">
        <v>0</v>
      </c>
      <c r="F244" s="145" t="s">
        <v>181</v>
      </c>
      <c r="G244" s="150" t="s">
        <v>201</v>
      </c>
      <c r="H244" s="150" t="s">
        <v>0</v>
      </c>
      <c r="I244" s="150" t="s">
        <v>0</v>
      </c>
      <c r="J244" s="151" t="s">
        <v>54</v>
      </c>
      <c r="K244" s="13">
        <v>3</v>
      </c>
      <c r="L244" s="12" t="s">
        <v>32</v>
      </c>
      <c r="M244" s="13">
        <v>6</v>
      </c>
      <c r="N244" s="13">
        <v>0</v>
      </c>
      <c r="O244" s="14">
        <v>6</v>
      </c>
      <c r="P244" s="113">
        <f t="shared" si="675"/>
        <v>3</v>
      </c>
      <c r="Q244" s="114">
        <f t="shared" si="676"/>
        <v>0</v>
      </c>
      <c r="R244" s="114">
        <f t="shared" si="677"/>
        <v>6</v>
      </c>
      <c r="S244" s="114">
        <f t="shared" si="678"/>
        <v>0</v>
      </c>
      <c r="T244" s="93">
        <f t="shared" si="679"/>
        <v>1</v>
      </c>
      <c r="U244" t="s">
        <v>0</v>
      </c>
      <c r="V244" s="79"/>
      <c r="W244" s="76"/>
      <c r="X244" s="76"/>
      <c r="Y244" s="76"/>
      <c r="Z244" s="76"/>
      <c r="AA244" s="80"/>
      <c r="AB244" s="79"/>
      <c r="AC244" s="76"/>
      <c r="AD244" s="76"/>
      <c r="AE244" s="76"/>
      <c r="AF244" s="76"/>
      <c r="AG244" s="80"/>
      <c r="AH244" s="79"/>
      <c r="AI244" s="76"/>
      <c r="AJ244" s="76"/>
      <c r="AK244" s="76"/>
      <c r="AL244" s="76"/>
      <c r="AM244" s="80"/>
      <c r="AN244" s="79">
        <v>3</v>
      </c>
      <c r="AO244" s="76"/>
      <c r="AP244" s="76"/>
      <c r="AQ244" s="76"/>
      <c r="AR244" s="76"/>
      <c r="AS244" s="80"/>
      <c r="AT244" s="79"/>
      <c r="AU244" s="76"/>
      <c r="AV244" s="76"/>
      <c r="AW244" s="76"/>
      <c r="AX244" s="76"/>
      <c r="AY244" s="80"/>
      <c r="AZ244" s="79"/>
      <c r="BA244" s="76"/>
      <c r="BB244" s="76"/>
      <c r="BC244" s="76"/>
      <c r="BD244" s="76"/>
      <c r="BE244" s="80"/>
      <c r="BF244" s="79"/>
      <c r="BG244" s="76"/>
      <c r="BH244" s="76"/>
      <c r="BI244" s="76"/>
      <c r="BJ244" s="76"/>
      <c r="BK244" s="80"/>
      <c r="BM244" s="125">
        <f t="shared" si="680"/>
        <v>0</v>
      </c>
      <c r="BN244" s="126">
        <f t="shared" si="681"/>
        <v>0</v>
      </c>
      <c r="BO244" s="126">
        <f t="shared" si="682"/>
        <v>0</v>
      </c>
      <c r="BP244" s="126">
        <f t="shared" si="683"/>
        <v>3</v>
      </c>
      <c r="BQ244" s="126">
        <f>SUM(AT244:AY244)</f>
        <v>0</v>
      </c>
      <c r="BR244" s="126">
        <f t="shared" si="684"/>
        <v>0</v>
      </c>
      <c r="BS244" s="127">
        <f t="shared" si="685"/>
        <v>0</v>
      </c>
      <c r="BT244" s="74"/>
      <c r="BU244" s="125">
        <f t="shared" si="686"/>
        <v>0</v>
      </c>
      <c r="BV244" s="126">
        <f t="shared" si="687"/>
        <v>0</v>
      </c>
      <c r="BW244" s="126">
        <f t="shared" si="688"/>
        <v>0</v>
      </c>
      <c r="BX244" s="126">
        <f t="shared" si="689"/>
        <v>6</v>
      </c>
      <c r="BY244" s="126">
        <f t="shared" si="690"/>
        <v>0</v>
      </c>
      <c r="BZ244" s="126">
        <f t="shared" si="690"/>
        <v>0</v>
      </c>
      <c r="CA244" s="126">
        <f t="shared" si="690"/>
        <v>0</v>
      </c>
    </row>
    <row r="245" spans="1:79" ht="15.75">
      <c r="A245" s="152" t="str">
        <f t="shared" si="577"/>
        <v>P</v>
      </c>
      <c r="B245" s="153">
        <f t="shared" si="578"/>
        <v>70000</v>
      </c>
      <c r="C245" s="154" t="s">
        <v>202</v>
      </c>
      <c r="D245" s="155" t="s">
        <v>0</v>
      </c>
      <c r="E245" s="155" t="s">
        <v>0</v>
      </c>
      <c r="F245" s="156" t="s">
        <v>203</v>
      </c>
      <c r="G245" s="155" t="s">
        <v>201</v>
      </c>
      <c r="H245" s="155" t="s">
        <v>0</v>
      </c>
      <c r="I245" s="155" t="s">
        <v>0</v>
      </c>
      <c r="J245" s="157" t="s">
        <v>54</v>
      </c>
      <c r="K245" s="9">
        <v>105</v>
      </c>
      <c r="L245" s="8" t="s">
        <v>56</v>
      </c>
      <c r="M245" s="9">
        <v>46.75</v>
      </c>
      <c r="N245" s="9">
        <v>5.5</v>
      </c>
      <c r="O245" s="10">
        <v>52.25</v>
      </c>
      <c r="P245" s="111"/>
      <c r="Q245" s="112"/>
      <c r="R245" s="112">
        <f>SUMIFS(R246:R$415,$C246:$C$415,$C245)</f>
        <v>52.25</v>
      </c>
      <c r="S245" s="112">
        <f>SUMIFS(S246:S$415,$C246:$C$415,$C245)</f>
        <v>0</v>
      </c>
      <c r="T245" s="92">
        <f>R245/O245</f>
        <v>1</v>
      </c>
      <c r="V245" s="77"/>
      <c r="W245" s="75"/>
      <c r="X245" s="75"/>
      <c r="Y245" s="75"/>
      <c r="Z245" s="75"/>
      <c r="AA245" s="78"/>
      <c r="AB245" s="77"/>
      <c r="AC245" s="75"/>
      <c r="AD245" s="75"/>
      <c r="AE245" s="75"/>
      <c r="AF245" s="75"/>
      <c r="AG245" s="78"/>
      <c r="AH245" s="77"/>
      <c r="AI245" s="75"/>
      <c r="AJ245" s="75"/>
      <c r="AK245" s="75"/>
      <c r="AL245" s="75"/>
      <c r="AM245" s="78"/>
      <c r="AN245" s="77"/>
      <c r="AO245" s="75"/>
      <c r="AP245" s="75"/>
      <c r="AQ245" s="75"/>
      <c r="AR245" s="75"/>
      <c r="AS245" s="78"/>
      <c r="AT245" s="77"/>
      <c r="AU245" s="75"/>
      <c r="AV245" s="75"/>
      <c r="AW245" s="75"/>
      <c r="AX245" s="75"/>
      <c r="AY245" s="78"/>
      <c r="AZ245" s="77"/>
      <c r="BA245" s="75"/>
      <c r="BB245" s="75"/>
      <c r="BC245" s="75"/>
      <c r="BD245" s="75"/>
      <c r="BE245" s="78"/>
      <c r="BF245" s="77"/>
      <c r="BG245" s="75"/>
      <c r="BH245" s="75"/>
      <c r="BI245" s="75"/>
      <c r="BJ245" s="75"/>
      <c r="BK245" s="78"/>
      <c r="BM245" s="122"/>
      <c r="BN245" s="123"/>
      <c r="BO245" s="123"/>
      <c r="BP245" s="123"/>
      <c r="BQ245" s="123"/>
      <c r="BR245" s="123"/>
      <c r="BS245" s="124"/>
      <c r="BT245" s="74"/>
      <c r="BU245" s="122"/>
      <c r="BV245" s="123"/>
      <c r="BW245" s="123"/>
      <c r="BX245" s="123"/>
      <c r="BY245" s="123"/>
      <c r="BZ245" s="123"/>
      <c r="CA245" s="123"/>
    </row>
    <row r="246" spans="1:79">
      <c r="A246" s="147" t="str">
        <f t="shared" si="577"/>
        <v>D</v>
      </c>
      <c r="B246" s="148">
        <f t="shared" si="578"/>
        <v>70000</v>
      </c>
      <c r="C246" s="149" t="s">
        <v>202</v>
      </c>
      <c r="D246" s="150" t="s">
        <v>0</v>
      </c>
      <c r="E246" s="150" t="s">
        <v>0</v>
      </c>
      <c r="F246" s="145" t="s">
        <v>176</v>
      </c>
      <c r="G246" s="150" t="s">
        <v>201</v>
      </c>
      <c r="H246" s="150" t="s">
        <v>0</v>
      </c>
      <c r="I246" s="150" t="s">
        <v>0</v>
      </c>
      <c r="J246" s="151" t="s">
        <v>54</v>
      </c>
      <c r="K246" s="13">
        <v>105</v>
      </c>
      <c r="L246" s="12" t="s">
        <v>56</v>
      </c>
      <c r="M246" s="13">
        <v>26.25</v>
      </c>
      <c r="N246" s="13">
        <v>0</v>
      </c>
      <c r="O246" s="14">
        <v>26.25</v>
      </c>
      <c r="P246" s="113">
        <f t="shared" ref="P246:P249" si="691">SUM(BM246:BS246)</f>
        <v>105</v>
      </c>
      <c r="Q246" s="114">
        <f t="shared" ref="Q246:Q249" si="692">K246-P246</f>
        <v>0</v>
      </c>
      <c r="R246" s="114">
        <f t="shared" ref="R246:R249" si="693">SUM(BU246:CA246)</f>
        <v>26.25</v>
      </c>
      <c r="S246" s="114">
        <f t="shared" ref="S246:S249" si="694">O246-R246</f>
        <v>0</v>
      </c>
      <c r="T246" s="93">
        <f t="shared" ref="T246:T249" si="695">R246/O246</f>
        <v>1</v>
      </c>
      <c r="U246" t="s">
        <v>0</v>
      </c>
      <c r="V246" s="79"/>
      <c r="W246" s="76"/>
      <c r="X246" s="76"/>
      <c r="Y246" s="76"/>
      <c r="Z246" s="76"/>
      <c r="AA246" s="80"/>
      <c r="AB246" s="79"/>
      <c r="AC246" s="76"/>
      <c r="AD246" s="76"/>
      <c r="AE246" s="76">
        <v>10</v>
      </c>
      <c r="AF246" s="76"/>
      <c r="AG246" s="80"/>
      <c r="AH246" s="79"/>
      <c r="AI246" s="76"/>
      <c r="AJ246" s="76"/>
      <c r="AK246" s="76">
        <v>75</v>
      </c>
      <c r="AL246" s="76">
        <v>20</v>
      </c>
      <c r="AM246" s="80"/>
      <c r="AN246" s="79"/>
      <c r="AO246" s="76"/>
      <c r="AP246" s="76"/>
      <c r="AQ246" s="76"/>
      <c r="AR246" s="76"/>
      <c r="AS246" s="80"/>
      <c r="AT246" s="79"/>
      <c r="AU246" s="76"/>
      <c r="AV246" s="76"/>
      <c r="AW246" s="76"/>
      <c r="AX246" s="76"/>
      <c r="AY246" s="80"/>
      <c r="AZ246" s="79"/>
      <c r="BA246" s="76"/>
      <c r="BB246" s="76"/>
      <c r="BC246" s="76"/>
      <c r="BD246" s="76"/>
      <c r="BE246" s="80"/>
      <c r="BF246" s="79"/>
      <c r="BG246" s="76"/>
      <c r="BH246" s="76"/>
      <c r="BI246" s="76"/>
      <c r="BJ246" s="76"/>
      <c r="BK246" s="80"/>
      <c r="BM246" s="125">
        <f t="shared" ref="BM246:BM249" si="696">SUM(V246:AA246)</f>
        <v>0</v>
      </c>
      <c r="BN246" s="126">
        <f t="shared" ref="BN246:BN249" si="697">SUM(AB246:AG246)</f>
        <v>10</v>
      </c>
      <c r="BO246" s="126">
        <f t="shared" ref="BO246:BO249" si="698">SUM(AH246:AM246)</f>
        <v>95</v>
      </c>
      <c r="BP246" s="126">
        <f t="shared" ref="BP246:BP249" si="699">SUM(AN246:AS246)</f>
        <v>0</v>
      </c>
      <c r="BQ246" s="126">
        <f>SUM(AT246:AY246)</f>
        <v>0</v>
      </c>
      <c r="BR246" s="126">
        <f t="shared" ref="BR246:BS249" si="700">SUM(AZ246:BE246)</f>
        <v>0</v>
      </c>
      <c r="BS246" s="127">
        <f t="shared" ref="BS246:BS249" si="701">SUM(BF246:BK246)</f>
        <v>0</v>
      </c>
      <c r="BT246" s="74"/>
      <c r="BU246" s="125">
        <f t="shared" ref="BU246:BU249" si="702">(BM246/$K246)*$O246</f>
        <v>0</v>
      </c>
      <c r="BV246" s="126">
        <f t="shared" ref="BV246:BV249" si="703">(BN246/$K246)*$O246</f>
        <v>2.5</v>
      </c>
      <c r="BW246" s="126">
        <f t="shared" ref="BW246:BW249" si="704">(BO246/$K246)*$O246</f>
        <v>23.75</v>
      </c>
      <c r="BX246" s="126">
        <f t="shared" ref="BX246:BX249" si="705">(BP246/$K246)*$O246</f>
        <v>0</v>
      </c>
      <c r="BY246" s="126">
        <f t="shared" ref="BY246:CA249" si="706">(BQ246/$K246)*$O246</f>
        <v>0</v>
      </c>
      <c r="BZ246" s="126">
        <f t="shared" si="706"/>
        <v>0</v>
      </c>
      <c r="CA246" s="126">
        <f t="shared" si="706"/>
        <v>0</v>
      </c>
    </row>
    <row r="247" spans="1:79">
      <c r="A247" s="147" t="str">
        <f t="shared" si="577"/>
        <v>D</v>
      </c>
      <c r="B247" s="148">
        <f t="shared" si="578"/>
        <v>70000</v>
      </c>
      <c r="C247" s="149" t="s">
        <v>202</v>
      </c>
      <c r="D247" s="150" t="s">
        <v>0</v>
      </c>
      <c r="E247" s="150" t="s">
        <v>0</v>
      </c>
      <c r="F247" s="145" t="s">
        <v>177</v>
      </c>
      <c r="G247" s="150" t="s">
        <v>201</v>
      </c>
      <c r="H247" s="150" t="s">
        <v>0</v>
      </c>
      <c r="I247" s="150" t="s">
        <v>0</v>
      </c>
      <c r="J247" s="151" t="s">
        <v>54</v>
      </c>
      <c r="K247" s="13">
        <v>2</v>
      </c>
      <c r="L247" s="12" t="s">
        <v>32</v>
      </c>
      <c r="M247" s="13">
        <v>5</v>
      </c>
      <c r="N247" s="13">
        <v>5.5</v>
      </c>
      <c r="O247" s="14">
        <v>10.5</v>
      </c>
      <c r="P247" s="113">
        <f t="shared" si="691"/>
        <v>2</v>
      </c>
      <c r="Q247" s="114">
        <f t="shared" si="692"/>
        <v>0</v>
      </c>
      <c r="R247" s="114">
        <f t="shared" si="693"/>
        <v>10.5</v>
      </c>
      <c r="S247" s="114">
        <f t="shared" si="694"/>
        <v>0</v>
      </c>
      <c r="T247" s="93">
        <f t="shared" si="695"/>
        <v>1</v>
      </c>
      <c r="U247" t="s">
        <v>0</v>
      </c>
      <c r="V247" s="79"/>
      <c r="W247" s="76"/>
      <c r="X247" s="76"/>
      <c r="Y247" s="76"/>
      <c r="Z247" s="76"/>
      <c r="AA247" s="80"/>
      <c r="AB247" s="79"/>
      <c r="AC247" s="76"/>
      <c r="AD247" s="76"/>
      <c r="AE247" s="76"/>
      <c r="AF247" s="76"/>
      <c r="AG247" s="80"/>
      <c r="AH247" s="79"/>
      <c r="AI247" s="76"/>
      <c r="AJ247" s="76"/>
      <c r="AK247" s="76">
        <v>2</v>
      </c>
      <c r="AL247" s="76"/>
      <c r="AM247" s="80"/>
      <c r="AN247" s="79"/>
      <c r="AO247" s="76"/>
      <c r="AP247" s="76"/>
      <c r="AQ247" s="76"/>
      <c r="AR247" s="76"/>
      <c r="AS247" s="80"/>
      <c r="AT247" s="79"/>
      <c r="AU247" s="76"/>
      <c r="AV247" s="76"/>
      <c r="AW247" s="76"/>
      <c r="AX247" s="76"/>
      <c r="AY247" s="80"/>
      <c r="AZ247" s="79"/>
      <c r="BA247" s="76"/>
      <c r="BB247" s="76"/>
      <c r="BC247" s="76"/>
      <c r="BD247" s="76"/>
      <c r="BE247" s="80"/>
      <c r="BF247" s="79"/>
      <c r="BG247" s="76"/>
      <c r="BH247" s="76"/>
      <c r="BI247" s="76"/>
      <c r="BJ247" s="76"/>
      <c r="BK247" s="80"/>
      <c r="BM247" s="125">
        <f t="shared" si="696"/>
        <v>0</v>
      </c>
      <c r="BN247" s="126">
        <f t="shared" si="697"/>
        <v>0</v>
      </c>
      <c r="BO247" s="126">
        <f t="shared" si="698"/>
        <v>2</v>
      </c>
      <c r="BP247" s="126">
        <f t="shared" si="699"/>
        <v>0</v>
      </c>
      <c r="BQ247" s="126">
        <f>SUM(AT247:AY247)</f>
        <v>0</v>
      </c>
      <c r="BR247" s="126">
        <f t="shared" si="700"/>
        <v>0</v>
      </c>
      <c r="BS247" s="127">
        <f t="shared" si="701"/>
        <v>0</v>
      </c>
      <c r="BT247" s="74"/>
      <c r="BU247" s="125">
        <f t="shared" si="702"/>
        <v>0</v>
      </c>
      <c r="BV247" s="126">
        <f t="shared" si="703"/>
        <v>0</v>
      </c>
      <c r="BW247" s="126">
        <f t="shared" si="704"/>
        <v>10.5</v>
      </c>
      <c r="BX247" s="126">
        <f t="shared" si="705"/>
        <v>0</v>
      </c>
      <c r="BY247" s="126">
        <f t="shared" si="706"/>
        <v>0</v>
      </c>
      <c r="BZ247" s="126">
        <f t="shared" si="706"/>
        <v>0</v>
      </c>
      <c r="CA247" s="126">
        <f t="shared" si="706"/>
        <v>0</v>
      </c>
    </row>
    <row r="248" spans="1:79">
      <c r="A248" s="147" t="str">
        <f t="shared" si="577"/>
        <v>D</v>
      </c>
      <c r="B248" s="148">
        <f t="shared" si="578"/>
        <v>70000</v>
      </c>
      <c r="C248" s="149" t="s">
        <v>202</v>
      </c>
      <c r="D248" s="150" t="s">
        <v>0</v>
      </c>
      <c r="E248" s="150" t="s">
        <v>0</v>
      </c>
      <c r="F248" s="145" t="s">
        <v>180</v>
      </c>
      <c r="G248" s="150" t="s">
        <v>201</v>
      </c>
      <c r="H248" s="150" t="s">
        <v>0</v>
      </c>
      <c r="I248" s="150" t="s">
        <v>0</v>
      </c>
      <c r="J248" s="151" t="s">
        <v>54</v>
      </c>
      <c r="K248" s="13">
        <v>1</v>
      </c>
      <c r="L248" s="12" t="s">
        <v>32</v>
      </c>
      <c r="M248" s="13">
        <v>1.5</v>
      </c>
      <c r="N248" s="13">
        <v>0</v>
      </c>
      <c r="O248" s="14">
        <v>1.5</v>
      </c>
      <c r="P248" s="113">
        <f t="shared" si="691"/>
        <v>1</v>
      </c>
      <c r="Q248" s="114">
        <f t="shared" si="692"/>
        <v>0</v>
      </c>
      <c r="R248" s="114">
        <f t="shared" si="693"/>
        <v>1.5</v>
      </c>
      <c r="S248" s="114">
        <f t="shared" si="694"/>
        <v>0</v>
      </c>
      <c r="T248" s="93">
        <f t="shared" si="695"/>
        <v>1</v>
      </c>
      <c r="U248" t="s">
        <v>0</v>
      </c>
      <c r="V248" s="79"/>
      <c r="W248" s="76"/>
      <c r="X248" s="76"/>
      <c r="Y248" s="76"/>
      <c r="Z248" s="76"/>
      <c r="AA248" s="80"/>
      <c r="AB248" s="79"/>
      <c r="AC248" s="76"/>
      <c r="AD248" s="76"/>
      <c r="AE248" s="76"/>
      <c r="AF248" s="76"/>
      <c r="AG248" s="80"/>
      <c r="AH248" s="79"/>
      <c r="AI248" s="76"/>
      <c r="AJ248" s="76"/>
      <c r="AK248" s="76"/>
      <c r="AL248" s="76">
        <v>1</v>
      </c>
      <c r="AM248" s="80"/>
      <c r="AN248" s="79"/>
      <c r="AO248" s="76"/>
      <c r="AP248" s="76"/>
      <c r="AQ248" s="76"/>
      <c r="AR248" s="76"/>
      <c r="AS248" s="80"/>
      <c r="AT248" s="79"/>
      <c r="AU248" s="76"/>
      <c r="AV248" s="76"/>
      <c r="AW248" s="76"/>
      <c r="AX248" s="76"/>
      <c r="AY248" s="80"/>
      <c r="AZ248" s="79"/>
      <c r="BA248" s="76"/>
      <c r="BB248" s="76"/>
      <c r="BC248" s="76"/>
      <c r="BD248" s="76"/>
      <c r="BE248" s="80"/>
      <c r="BF248" s="79"/>
      <c r="BG248" s="76"/>
      <c r="BH248" s="76"/>
      <c r="BI248" s="76"/>
      <c r="BJ248" s="76"/>
      <c r="BK248" s="80"/>
      <c r="BM248" s="125">
        <f t="shared" si="696"/>
        <v>0</v>
      </c>
      <c r="BN248" s="126">
        <f t="shared" si="697"/>
        <v>0</v>
      </c>
      <c r="BO248" s="126">
        <f t="shared" si="698"/>
        <v>1</v>
      </c>
      <c r="BP248" s="126">
        <f t="shared" si="699"/>
        <v>0</v>
      </c>
      <c r="BQ248" s="126">
        <f>SUM(AT248:AY248)</f>
        <v>0</v>
      </c>
      <c r="BR248" s="126">
        <f t="shared" si="700"/>
        <v>0</v>
      </c>
      <c r="BS248" s="127">
        <f t="shared" si="701"/>
        <v>0</v>
      </c>
      <c r="BT248" s="74"/>
      <c r="BU248" s="125">
        <f t="shared" si="702"/>
        <v>0</v>
      </c>
      <c r="BV248" s="126">
        <f t="shared" si="703"/>
        <v>0</v>
      </c>
      <c r="BW248" s="126">
        <f t="shared" si="704"/>
        <v>1.5</v>
      </c>
      <c r="BX248" s="126">
        <f t="shared" si="705"/>
        <v>0</v>
      </c>
      <c r="BY248" s="126">
        <f t="shared" si="706"/>
        <v>0</v>
      </c>
      <c r="BZ248" s="126">
        <f t="shared" si="706"/>
        <v>0</v>
      </c>
      <c r="CA248" s="126">
        <f t="shared" si="706"/>
        <v>0</v>
      </c>
    </row>
    <row r="249" spans="1:79">
      <c r="A249" s="147" t="str">
        <f t="shared" si="577"/>
        <v>D</v>
      </c>
      <c r="B249" s="148">
        <f t="shared" si="578"/>
        <v>70000</v>
      </c>
      <c r="C249" s="149" t="s">
        <v>202</v>
      </c>
      <c r="D249" s="150" t="s">
        <v>0</v>
      </c>
      <c r="E249" s="150" t="s">
        <v>0</v>
      </c>
      <c r="F249" s="145" t="s">
        <v>181</v>
      </c>
      <c r="G249" s="150" t="s">
        <v>201</v>
      </c>
      <c r="H249" s="150" t="s">
        <v>0</v>
      </c>
      <c r="I249" s="150" t="s">
        <v>0</v>
      </c>
      <c r="J249" s="151" t="s">
        <v>54</v>
      </c>
      <c r="K249" s="13">
        <v>7</v>
      </c>
      <c r="L249" s="12" t="s">
        <v>32</v>
      </c>
      <c r="M249" s="13">
        <v>14</v>
      </c>
      <c r="N249" s="13">
        <v>0</v>
      </c>
      <c r="O249" s="14">
        <v>14</v>
      </c>
      <c r="P249" s="113">
        <f t="shared" si="691"/>
        <v>7</v>
      </c>
      <c r="Q249" s="114">
        <f t="shared" si="692"/>
        <v>0</v>
      </c>
      <c r="R249" s="114">
        <f t="shared" si="693"/>
        <v>14</v>
      </c>
      <c r="S249" s="114">
        <f t="shared" si="694"/>
        <v>0</v>
      </c>
      <c r="T249" s="93">
        <f t="shared" si="695"/>
        <v>1</v>
      </c>
      <c r="U249" t="s">
        <v>0</v>
      </c>
      <c r="V249" s="79"/>
      <c r="W249" s="76"/>
      <c r="X249" s="76"/>
      <c r="Y249" s="76"/>
      <c r="Z249" s="76"/>
      <c r="AA249" s="80"/>
      <c r="AB249" s="79"/>
      <c r="AC249" s="76"/>
      <c r="AD249" s="76"/>
      <c r="AE249" s="76"/>
      <c r="AF249" s="76"/>
      <c r="AG249" s="80"/>
      <c r="AH249" s="79"/>
      <c r="AI249" s="76"/>
      <c r="AJ249" s="76"/>
      <c r="AK249" s="76">
        <v>4</v>
      </c>
      <c r="AL249" s="76">
        <v>2</v>
      </c>
      <c r="AM249" s="80"/>
      <c r="AN249" s="79">
        <v>1</v>
      </c>
      <c r="AO249" s="76"/>
      <c r="AP249" s="76"/>
      <c r="AQ249" s="76"/>
      <c r="AR249" s="76"/>
      <c r="AS249" s="80"/>
      <c r="AT249" s="79"/>
      <c r="AU249" s="76"/>
      <c r="AV249" s="76"/>
      <c r="AW249" s="76"/>
      <c r="AX249" s="76"/>
      <c r="AY249" s="80"/>
      <c r="AZ249" s="79"/>
      <c r="BA249" s="76"/>
      <c r="BB249" s="76"/>
      <c r="BC249" s="76"/>
      <c r="BD249" s="76"/>
      <c r="BE249" s="80"/>
      <c r="BF249" s="79"/>
      <c r="BG249" s="76"/>
      <c r="BH249" s="76"/>
      <c r="BI249" s="76"/>
      <c r="BJ249" s="76"/>
      <c r="BK249" s="80"/>
      <c r="BM249" s="125">
        <f t="shared" si="696"/>
        <v>0</v>
      </c>
      <c r="BN249" s="126">
        <f t="shared" si="697"/>
        <v>0</v>
      </c>
      <c r="BO249" s="126">
        <f t="shared" si="698"/>
        <v>6</v>
      </c>
      <c r="BP249" s="126">
        <f t="shared" si="699"/>
        <v>1</v>
      </c>
      <c r="BQ249" s="126">
        <f>SUM(AT249:AY249)</f>
        <v>0</v>
      </c>
      <c r="BR249" s="126">
        <f t="shared" si="700"/>
        <v>0</v>
      </c>
      <c r="BS249" s="127">
        <f t="shared" si="701"/>
        <v>0</v>
      </c>
      <c r="BT249" s="74"/>
      <c r="BU249" s="125">
        <f t="shared" si="702"/>
        <v>0</v>
      </c>
      <c r="BV249" s="126">
        <f t="shared" si="703"/>
        <v>0</v>
      </c>
      <c r="BW249" s="126">
        <f t="shared" si="704"/>
        <v>12</v>
      </c>
      <c r="BX249" s="126">
        <f t="shared" si="705"/>
        <v>2</v>
      </c>
      <c r="BY249" s="126">
        <f t="shared" si="706"/>
        <v>0</v>
      </c>
      <c r="BZ249" s="126">
        <f t="shared" si="706"/>
        <v>0</v>
      </c>
      <c r="CA249" s="126">
        <f t="shared" si="706"/>
        <v>0</v>
      </c>
    </row>
    <row r="250" spans="1:79" ht="15.75">
      <c r="A250" s="152" t="str">
        <f t="shared" si="577"/>
        <v>P</v>
      </c>
      <c r="B250" s="153">
        <f t="shared" si="578"/>
        <v>70000</v>
      </c>
      <c r="C250" s="154" t="s">
        <v>204</v>
      </c>
      <c r="D250" s="155" t="s">
        <v>0</v>
      </c>
      <c r="E250" s="155" t="s">
        <v>0</v>
      </c>
      <c r="F250" s="156" t="s">
        <v>205</v>
      </c>
      <c r="G250" s="155" t="s">
        <v>201</v>
      </c>
      <c r="H250" s="155" t="s">
        <v>0</v>
      </c>
      <c r="I250" s="155" t="s">
        <v>0</v>
      </c>
      <c r="J250" s="157" t="s">
        <v>54</v>
      </c>
      <c r="K250" s="9">
        <v>10</v>
      </c>
      <c r="L250" s="8" t="s">
        <v>56</v>
      </c>
      <c r="M250" s="9">
        <v>8.5</v>
      </c>
      <c r="N250" s="9">
        <v>2.75</v>
      </c>
      <c r="O250" s="10">
        <v>11.25</v>
      </c>
      <c r="P250" s="111"/>
      <c r="Q250" s="112"/>
      <c r="R250" s="112">
        <f>SUMIFS(R251:R$415,$C251:$C$415,$C250)</f>
        <v>11.25</v>
      </c>
      <c r="S250" s="112">
        <f>SUMIFS(S251:S$415,$C251:$C$415,$C250)</f>
        <v>0</v>
      </c>
      <c r="T250" s="92">
        <f>R250/O250</f>
        <v>1</v>
      </c>
      <c r="V250" s="77"/>
      <c r="W250" s="75"/>
      <c r="X250" s="75"/>
      <c r="Y250" s="75"/>
      <c r="Z250" s="75"/>
      <c r="AA250" s="78"/>
      <c r="AB250" s="77"/>
      <c r="AC250" s="75"/>
      <c r="AD250" s="75"/>
      <c r="AE250" s="75"/>
      <c r="AF250" s="75"/>
      <c r="AG250" s="78"/>
      <c r="AH250" s="77"/>
      <c r="AI250" s="75"/>
      <c r="AJ250" s="75"/>
      <c r="AK250" s="75"/>
      <c r="AL250" s="75"/>
      <c r="AM250" s="78"/>
      <c r="AN250" s="77"/>
      <c r="AO250" s="75"/>
      <c r="AP250" s="75"/>
      <c r="AQ250" s="75"/>
      <c r="AR250" s="75"/>
      <c r="AS250" s="78"/>
      <c r="AT250" s="77"/>
      <c r="AU250" s="75"/>
      <c r="AV250" s="75"/>
      <c r="AW250" s="75"/>
      <c r="AX250" s="75"/>
      <c r="AY250" s="78"/>
      <c r="AZ250" s="77"/>
      <c r="BA250" s="75"/>
      <c r="BB250" s="75"/>
      <c r="BC250" s="75"/>
      <c r="BD250" s="75"/>
      <c r="BE250" s="78"/>
      <c r="BF250" s="77"/>
      <c r="BG250" s="75"/>
      <c r="BH250" s="75"/>
      <c r="BI250" s="75"/>
      <c r="BJ250" s="75"/>
      <c r="BK250" s="78"/>
      <c r="BM250" s="122"/>
      <c r="BN250" s="123"/>
      <c r="BO250" s="123"/>
      <c r="BP250" s="123"/>
      <c r="BQ250" s="123"/>
      <c r="BR250" s="123"/>
      <c r="BS250" s="124"/>
      <c r="BT250" s="74"/>
      <c r="BU250" s="122"/>
      <c r="BV250" s="123"/>
      <c r="BW250" s="123"/>
      <c r="BX250" s="123"/>
      <c r="BY250" s="123"/>
      <c r="BZ250" s="123"/>
      <c r="CA250" s="123"/>
    </row>
    <row r="251" spans="1:79">
      <c r="A251" s="147" t="str">
        <f t="shared" si="577"/>
        <v>D</v>
      </c>
      <c r="B251" s="148">
        <f t="shared" si="578"/>
        <v>70000</v>
      </c>
      <c r="C251" s="149" t="s">
        <v>204</v>
      </c>
      <c r="D251" s="150" t="s">
        <v>0</v>
      </c>
      <c r="E251" s="150" t="s">
        <v>0</v>
      </c>
      <c r="F251" s="145" t="s">
        <v>176</v>
      </c>
      <c r="G251" s="150" t="s">
        <v>201</v>
      </c>
      <c r="H251" s="150" t="s">
        <v>0</v>
      </c>
      <c r="I251" s="150" t="s">
        <v>0</v>
      </c>
      <c r="J251" s="151" t="s">
        <v>54</v>
      </c>
      <c r="K251" s="13">
        <v>10</v>
      </c>
      <c r="L251" s="12" t="s">
        <v>56</v>
      </c>
      <c r="M251" s="13">
        <v>2.5</v>
      </c>
      <c r="N251" s="13">
        <v>0</v>
      </c>
      <c r="O251" s="14">
        <v>2.5</v>
      </c>
      <c r="P251" s="113">
        <f t="shared" ref="P251:P254" si="707">SUM(BM251:BS251)</f>
        <v>10</v>
      </c>
      <c r="Q251" s="114">
        <f t="shared" ref="Q251:Q254" si="708">K251-P251</f>
        <v>0</v>
      </c>
      <c r="R251" s="114">
        <f t="shared" ref="R251:R254" si="709">SUM(BU251:CA251)</f>
        <v>2.5</v>
      </c>
      <c r="S251" s="114">
        <f t="shared" ref="S251:S254" si="710">O251-R251</f>
        <v>0</v>
      </c>
      <c r="T251" s="93">
        <f t="shared" ref="T251:T254" si="711">R251/O251</f>
        <v>1</v>
      </c>
      <c r="U251" t="s">
        <v>0</v>
      </c>
      <c r="V251" s="79"/>
      <c r="W251" s="76"/>
      <c r="X251" s="76"/>
      <c r="Y251" s="76"/>
      <c r="Z251" s="76"/>
      <c r="AA251" s="80"/>
      <c r="AB251" s="79"/>
      <c r="AC251" s="76"/>
      <c r="AD251" s="76"/>
      <c r="AE251" s="76">
        <v>10</v>
      </c>
      <c r="AF251" s="76"/>
      <c r="AG251" s="80"/>
      <c r="AH251" s="79"/>
      <c r="AI251" s="76"/>
      <c r="AJ251" s="76"/>
      <c r="AK251" s="76"/>
      <c r="AL251" s="76"/>
      <c r="AM251" s="80"/>
      <c r="AN251" s="79"/>
      <c r="AO251" s="76"/>
      <c r="AP251" s="76"/>
      <c r="AQ251" s="76"/>
      <c r="AR251" s="76"/>
      <c r="AS251" s="80"/>
      <c r="AT251" s="79"/>
      <c r="AU251" s="76"/>
      <c r="AV251" s="76"/>
      <c r="AW251" s="76"/>
      <c r="AX251" s="76"/>
      <c r="AY251" s="80"/>
      <c r="AZ251" s="79"/>
      <c r="BA251" s="76"/>
      <c r="BB251" s="76"/>
      <c r="BC251" s="76"/>
      <c r="BD251" s="76"/>
      <c r="BE251" s="80"/>
      <c r="BF251" s="79"/>
      <c r="BG251" s="76"/>
      <c r="BH251" s="76"/>
      <c r="BI251" s="76"/>
      <c r="BJ251" s="76"/>
      <c r="BK251" s="80"/>
      <c r="BM251" s="125">
        <f t="shared" ref="BM251:BM254" si="712">SUM(V251:AA251)</f>
        <v>0</v>
      </c>
      <c r="BN251" s="126">
        <f t="shared" ref="BN251:BN254" si="713">SUM(AB251:AG251)</f>
        <v>10</v>
      </c>
      <c r="BO251" s="126">
        <f t="shared" ref="BO251:BO254" si="714">SUM(AH251:AM251)</f>
        <v>0</v>
      </c>
      <c r="BP251" s="126">
        <f t="shared" ref="BP251:BP254" si="715">SUM(AN251:AS251)</f>
        <v>0</v>
      </c>
      <c r="BQ251" s="126">
        <f>SUM(AT251:AY251)</f>
        <v>0</v>
      </c>
      <c r="BR251" s="126">
        <f t="shared" ref="BR251:BS254" si="716">SUM(AZ251:BE251)</f>
        <v>0</v>
      </c>
      <c r="BS251" s="127">
        <f t="shared" ref="BS251:BS254" si="717">SUM(BF251:BK251)</f>
        <v>0</v>
      </c>
      <c r="BT251" s="74"/>
      <c r="BU251" s="125">
        <f t="shared" ref="BU251:BU254" si="718">(BM251/$K251)*$O251</f>
        <v>0</v>
      </c>
      <c r="BV251" s="126">
        <f t="shared" ref="BV251:BV254" si="719">(BN251/$K251)*$O251</f>
        <v>2.5</v>
      </c>
      <c r="BW251" s="126">
        <f t="shared" ref="BW251:BW254" si="720">(BO251/$K251)*$O251</f>
        <v>0</v>
      </c>
      <c r="BX251" s="126">
        <f t="shared" ref="BX251:BX254" si="721">(BP251/$K251)*$O251</f>
        <v>0</v>
      </c>
      <c r="BY251" s="126">
        <f t="shared" ref="BY251:CA254" si="722">(BQ251/$K251)*$O251</f>
        <v>0</v>
      </c>
      <c r="BZ251" s="126">
        <f t="shared" si="722"/>
        <v>0</v>
      </c>
      <c r="CA251" s="126">
        <f t="shared" si="722"/>
        <v>0</v>
      </c>
    </row>
    <row r="252" spans="1:79">
      <c r="A252" s="147" t="str">
        <f t="shared" si="577"/>
        <v>D</v>
      </c>
      <c r="B252" s="148">
        <f t="shared" si="578"/>
        <v>70000</v>
      </c>
      <c r="C252" s="149" t="s">
        <v>204</v>
      </c>
      <c r="D252" s="150" t="s">
        <v>0</v>
      </c>
      <c r="E252" s="150" t="s">
        <v>0</v>
      </c>
      <c r="F252" s="145" t="s">
        <v>177</v>
      </c>
      <c r="G252" s="150" t="s">
        <v>201</v>
      </c>
      <c r="H252" s="150" t="s">
        <v>0</v>
      </c>
      <c r="I252" s="150" t="s">
        <v>0</v>
      </c>
      <c r="J252" s="151" t="s">
        <v>54</v>
      </c>
      <c r="K252" s="13">
        <v>1</v>
      </c>
      <c r="L252" s="12" t="s">
        <v>32</v>
      </c>
      <c r="M252" s="13">
        <v>2.5</v>
      </c>
      <c r="N252" s="13">
        <v>2.75</v>
      </c>
      <c r="O252" s="14">
        <v>5.25</v>
      </c>
      <c r="P252" s="113">
        <f t="shared" si="707"/>
        <v>1</v>
      </c>
      <c r="Q252" s="114">
        <f t="shared" si="708"/>
        <v>0</v>
      </c>
      <c r="R252" s="114">
        <f t="shared" si="709"/>
        <v>5.25</v>
      </c>
      <c r="S252" s="114">
        <f t="shared" si="710"/>
        <v>0</v>
      </c>
      <c r="T252" s="93">
        <f t="shared" si="711"/>
        <v>1</v>
      </c>
      <c r="U252" t="s">
        <v>0</v>
      </c>
      <c r="V252" s="79"/>
      <c r="W252" s="76"/>
      <c r="X252" s="76"/>
      <c r="Y252" s="76"/>
      <c r="Z252" s="76"/>
      <c r="AA252" s="80"/>
      <c r="AB252" s="79"/>
      <c r="AC252" s="76"/>
      <c r="AD252" s="76"/>
      <c r="AE252" s="76"/>
      <c r="AF252" s="76"/>
      <c r="AG252" s="80"/>
      <c r="AH252" s="79"/>
      <c r="AI252" s="76"/>
      <c r="AJ252" s="76"/>
      <c r="AK252" s="76"/>
      <c r="AL252" s="76">
        <v>1</v>
      </c>
      <c r="AM252" s="80"/>
      <c r="AN252" s="79"/>
      <c r="AO252" s="76"/>
      <c r="AP252" s="76"/>
      <c r="AQ252" s="76"/>
      <c r="AR252" s="76"/>
      <c r="AS252" s="80"/>
      <c r="AT252" s="79"/>
      <c r="AU252" s="76"/>
      <c r="AV252" s="76"/>
      <c r="AW252" s="76"/>
      <c r="AX252" s="76"/>
      <c r="AY252" s="80"/>
      <c r="AZ252" s="79"/>
      <c r="BA252" s="76"/>
      <c r="BB252" s="76"/>
      <c r="BC252" s="76"/>
      <c r="BD252" s="76"/>
      <c r="BE252" s="80"/>
      <c r="BF252" s="79"/>
      <c r="BG252" s="76"/>
      <c r="BH252" s="76"/>
      <c r="BI252" s="76"/>
      <c r="BJ252" s="76"/>
      <c r="BK252" s="80"/>
      <c r="BM252" s="125">
        <f t="shared" si="712"/>
        <v>0</v>
      </c>
      <c r="BN252" s="126">
        <f t="shared" si="713"/>
        <v>0</v>
      </c>
      <c r="BO252" s="126">
        <f t="shared" si="714"/>
        <v>1</v>
      </c>
      <c r="BP252" s="126">
        <f t="shared" si="715"/>
        <v>0</v>
      </c>
      <c r="BQ252" s="126">
        <f>SUM(AT252:AY252)</f>
        <v>0</v>
      </c>
      <c r="BR252" s="126">
        <f t="shared" si="716"/>
        <v>0</v>
      </c>
      <c r="BS252" s="127">
        <f t="shared" si="717"/>
        <v>0</v>
      </c>
      <c r="BT252" s="74"/>
      <c r="BU252" s="125">
        <f t="shared" si="718"/>
        <v>0</v>
      </c>
      <c r="BV252" s="126">
        <f t="shared" si="719"/>
        <v>0</v>
      </c>
      <c r="BW252" s="126">
        <f t="shared" si="720"/>
        <v>5.25</v>
      </c>
      <c r="BX252" s="126">
        <f t="shared" si="721"/>
        <v>0</v>
      </c>
      <c r="BY252" s="126">
        <f t="shared" si="722"/>
        <v>0</v>
      </c>
      <c r="BZ252" s="126">
        <f t="shared" si="722"/>
        <v>0</v>
      </c>
      <c r="CA252" s="126">
        <f t="shared" si="722"/>
        <v>0</v>
      </c>
    </row>
    <row r="253" spans="1:79">
      <c r="A253" s="147" t="str">
        <f t="shared" si="577"/>
        <v>D</v>
      </c>
      <c r="B253" s="148">
        <f t="shared" si="578"/>
        <v>70000</v>
      </c>
      <c r="C253" s="149" t="s">
        <v>204</v>
      </c>
      <c r="D253" s="150" t="s">
        <v>0</v>
      </c>
      <c r="E253" s="150" t="s">
        <v>0</v>
      </c>
      <c r="F253" s="145" t="s">
        <v>180</v>
      </c>
      <c r="G253" s="150" t="s">
        <v>201</v>
      </c>
      <c r="H253" s="150" t="s">
        <v>0</v>
      </c>
      <c r="I253" s="150" t="s">
        <v>0</v>
      </c>
      <c r="J253" s="151" t="s">
        <v>54</v>
      </c>
      <c r="K253" s="13">
        <v>1</v>
      </c>
      <c r="L253" s="12" t="s">
        <v>32</v>
      </c>
      <c r="M253" s="13">
        <v>1.5</v>
      </c>
      <c r="N253" s="13">
        <v>0</v>
      </c>
      <c r="O253" s="14">
        <v>1.5</v>
      </c>
      <c r="P253" s="113">
        <f t="shared" si="707"/>
        <v>1</v>
      </c>
      <c r="Q253" s="114">
        <f t="shared" si="708"/>
        <v>0</v>
      </c>
      <c r="R253" s="114">
        <f t="shared" si="709"/>
        <v>1.5</v>
      </c>
      <c r="S253" s="114">
        <f t="shared" si="710"/>
        <v>0</v>
      </c>
      <c r="T253" s="93">
        <f t="shared" si="711"/>
        <v>1</v>
      </c>
      <c r="U253" t="s">
        <v>0</v>
      </c>
      <c r="V253" s="79"/>
      <c r="W253" s="76"/>
      <c r="X253" s="76"/>
      <c r="Y253" s="76"/>
      <c r="Z253" s="76"/>
      <c r="AA253" s="80"/>
      <c r="AB253" s="79"/>
      <c r="AC253" s="76"/>
      <c r="AD253" s="76"/>
      <c r="AE253" s="76"/>
      <c r="AF253" s="76"/>
      <c r="AG253" s="80"/>
      <c r="AH253" s="79"/>
      <c r="AI253" s="76"/>
      <c r="AJ253" s="76"/>
      <c r="AK253" s="76"/>
      <c r="AL253" s="76">
        <v>1</v>
      </c>
      <c r="AM253" s="80"/>
      <c r="AN253" s="79"/>
      <c r="AO253" s="76"/>
      <c r="AP253" s="76"/>
      <c r="AQ253" s="76"/>
      <c r="AR253" s="76"/>
      <c r="AS253" s="80"/>
      <c r="AT253" s="79"/>
      <c r="AU253" s="76"/>
      <c r="AV253" s="76"/>
      <c r="AW253" s="76"/>
      <c r="AX253" s="76"/>
      <c r="AY253" s="80"/>
      <c r="AZ253" s="79"/>
      <c r="BA253" s="76"/>
      <c r="BB253" s="76"/>
      <c r="BC253" s="76"/>
      <c r="BD253" s="76"/>
      <c r="BE253" s="80"/>
      <c r="BF253" s="79"/>
      <c r="BG253" s="76"/>
      <c r="BH253" s="76"/>
      <c r="BI253" s="76"/>
      <c r="BJ253" s="76"/>
      <c r="BK253" s="80"/>
      <c r="BM253" s="125">
        <f t="shared" si="712"/>
        <v>0</v>
      </c>
      <c r="BN253" s="126">
        <f t="shared" si="713"/>
        <v>0</v>
      </c>
      <c r="BO253" s="126">
        <f t="shared" si="714"/>
        <v>1</v>
      </c>
      <c r="BP253" s="126">
        <f t="shared" si="715"/>
        <v>0</v>
      </c>
      <c r="BQ253" s="126">
        <f>SUM(AT253:AY253)</f>
        <v>0</v>
      </c>
      <c r="BR253" s="126">
        <f t="shared" si="716"/>
        <v>0</v>
      </c>
      <c r="BS253" s="127">
        <f t="shared" si="717"/>
        <v>0</v>
      </c>
      <c r="BT253" s="74"/>
      <c r="BU253" s="125">
        <f t="shared" si="718"/>
        <v>0</v>
      </c>
      <c r="BV253" s="126">
        <f t="shared" si="719"/>
        <v>0</v>
      </c>
      <c r="BW253" s="126">
        <f t="shared" si="720"/>
        <v>1.5</v>
      </c>
      <c r="BX253" s="126">
        <f t="shared" si="721"/>
        <v>0</v>
      </c>
      <c r="BY253" s="126">
        <f t="shared" si="722"/>
        <v>0</v>
      </c>
      <c r="BZ253" s="126">
        <f t="shared" si="722"/>
        <v>0</v>
      </c>
      <c r="CA253" s="126">
        <f t="shared" si="722"/>
        <v>0</v>
      </c>
    </row>
    <row r="254" spans="1:79">
      <c r="A254" s="147" t="str">
        <f t="shared" si="577"/>
        <v>D</v>
      </c>
      <c r="B254" s="148">
        <f t="shared" si="578"/>
        <v>70000</v>
      </c>
      <c r="C254" s="149" t="s">
        <v>204</v>
      </c>
      <c r="D254" s="150" t="s">
        <v>0</v>
      </c>
      <c r="E254" s="150" t="s">
        <v>0</v>
      </c>
      <c r="F254" s="145" t="s">
        <v>181</v>
      </c>
      <c r="G254" s="150" t="s">
        <v>201</v>
      </c>
      <c r="H254" s="150" t="s">
        <v>0</v>
      </c>
      <c r="I254" s="150" t="s">
        <v>0</v>
      </c>
      <c r="J254" s="151" t="s">
        <v>54</v>
      </c>
      <c r="K254" s="13">
        <v>1</v>
      </c>
      <c r="L254" s="12" t="s">
        <v>32</v>
      </c>
      <c r="M254" s="13">
        <v>2</v>
      </c>
      <c r="N254" s="13">
        <v>0</v>
      </c>
      <c r="O254" s="14">
        <v>2</v>
      </c>
      <c r="P254" s="113">
        <f t="shared" si="707"/>
        <v>1</v>
      </c>
      <c r="Q254" s="114">
        <f t="shared" si="708"/>
        <v>0</v>
      </c>
      <c r="R254" s="114">
        <f t="shared" si="709"/>
        <v>2</v>
      </c>
      <c r="S254" s="114">
        <f t="shared" si="710"/>
        <v>0</v>
      </c>
      <c r="T254" s="93">
        <f t="shared" si="711"/>
        <v>1</v>
      </c>
      <c r="U254" t="s">
        <v>0</v>
      </c>
      <c r="V254" s="79"/>
      <c r="W254" s="76"/>
      <c r="X254" s="76"/>
      <c r="Y254" s="76"/>
      <c r="Z254" s="76"/>
      <c r="AA254" s="80"/>
      <c r="AB254" s="79"/>
      <c r="AC254" s="76"/>
      <c r="AD254" s="76"/>
      <c r="AE254" s="76"/>
      <c r="AF254" s="76"/>
      <c r="AG254" s="80"/>
      <c r="AH254" s="79"/>
      <c r="AI254" s="76"/>
      <c r="AJ254" s="76"/>
      <c r="AK254" s="76"/>
      <c r="AL254" s="76"/>
      <c r="AM254" s="80"/>
      <c r="AN254" s="79">
        <v>1</v>
      </c>
      <c r="AO254" s="76"/>
      <c r="AP254" s="76"/>
      <c r="AQ254" s="76"/>
      <c r="AR254" s="76"/>
      <c r="AS254" s="80"/>
      <c r="AT254" s="79"/>
      <c r="AU254" s="76"/>
      <c r="AV254" s="76"/>
      <c r="AW254" s="76"/>
      <c r="AX254" s="76"/>
      <c r="AY254" s="80"/>
      <c r="AZ254" s="79"/>
      <c r="BA254" s="76"/>
      <c r="BB254" s="76"/>
      <c r="BC254" s="76"/>
      <c r="BD254" s="76"/>
      <c r="BE254" s="80"/>
      <c r="BF254" s="79"/>
      <c r="BG254" s="76"/>
      <c r="BH254" s="76"/>
      <c r="BI254" s="76"/>
      <c r="BJ254" s="76"/>
      <c r="BK254" s="80"/>
      <c r="BM254" s="125">
        <f t="shared" si="712"/>
        <v>0</v>
      </c>
      <c r="BN254" s="126">
        <f t="shared" si="713"/>
        <v>0</v>
      </c>
      <c r="BO254" s="126">
        <f t="shared" si="714"/>
        <v>0</v>
      </c>
      <c r="BP254" s="126">
        <f t="shared" si="715"/>
        <v>1</v>
      </c>
      <c r="BQ254" s="126">
        <f>SUM(AT254:AY254)</f>
        <v>0</v>
      </c>
      <c r="BR254" s="126">
        <f t="shared" si="716"/>
        <v>0</v>
      </c>
      <c r="BS254" s="127">
        <f t="shared" si="717"/>
        <v>0</v>
      </c>
      <c r="BT254" s="74"/>
      <c r="BU254" s="125">
        <f t="shared" si="718"/>
        <v>0</v>
      </c>
      <c r="BV254" s="126">
        <f t="shared" si="719"/>
        <v>0</v>
      </c>
      <c r="BW254" s="126">
        <f t="shared" si="720"/>
        <v>0</v>
      </c>
      <c r="BX254" s="126">
        <f t="shared" si="721"/>
        <v>2</v>
      </c>
      <c r="BY254" s="126">
        <f t="shared" si="722"/>
        <v>0</v>
      </c>
      <c r="BZ254" s="126">
        <f t="shared" si="722"/>
        <v>0</v>
      </c>
      <c r="CA254" s="126">
        <f t="shared" si="722"/>
        <v>0</v>
      </c>
    </row>
    <row r="255" spans="1:79" ht="15.75">
      <c r="A255" s="152" t="str">
        <f t="shared" si="577"/>
        <v>P</v>
      </c>
      <c r="B255" s="153">
        <f t="shared" si="578"/>
        <v>70000</v>
      </c>
      <c r="C255" s="154" t="s">
        <v>206</v>
      </c>
      <c r="D255" s="155" t="s">
        <v>0</v>
      </c>
      <c r="E255" s="155" t="s">
        <v>0</v>
      </c>
      <c r="F255" s="156" t="s">
        <v>207</v>
      </c>
      <c r="G255" s="155" t="s">
        <v>201</v>
      </c>
      <c r="H255" s="155" t="s">
        <v>0</v>
      </c>
      <c r="I255" s="155" t="s">
        <v>0</v>
      </c>
      <c r="J255" s="157" t="s">
        <v>54</v>
      </c>
      <c r="K255" s="9">
        <v>30</v>
      </c>
      <c r="L255" s="8" t="s">
        <v>56</v>
      </c>
      <c r="M255" s="9">
        <v>22.5</v>
      </c>
      <c r="N255" s="9">
        <v>2.75</v>
      </c>
      <c r="O255" s="10">
        <v>25.25</v>
      </c>
      <c r="P255" s="111"/>
      <c r="Q255" s="112"/>
      <c r="R255" s="112">
        <f>SUMIFS(R256:R$415,$C256:$C$415,$C255)</f>
        <v>25.25</v>
      </c>
      <c r="S255" s="112">
        <f>SUMIFS(S256:S$415,$C256:$C$415,$C255)</f>
        <v>0</v>
      </c>
      <c r="T255" s="92">
        <f>R255/O255</f>
        <v>1</v>
      </c>
      <c r="V255" s="77"/>
      <c r="W255" s="75"/>
      <c r="X255" s="75"/>
      <c r="Y255" s="75"/>
      <c r="Z255" s="75"/>
      <c r="AA255" s="78"/>
      <c r="AB255" s="77"/>
      <c r="AC255" s="75"/>
      <c r="AD255" s="75"/>
      <c r="AE255" s="75"/>
      <c r="AF255" s="75"/>
      <c r="AG255" s="78"/>
      <c r="AH255" s="77"/>
      <c r="AI255" s="75"/>
      <c r="AJ255" s="75"/>
      <c r="AK255" s="75"/>
      <c r="AL255" s="75"/>
      <c r="AM255" s="78"/>
      <c r="AN255" s="77"/>
      <c r="AO255" s="75"/>
      <c r="AP255" s="75"/>
      <c r="AQ255" s="75"/>
      <c r="AR255" s="75"/>
      <c r="AS255" s="78"/>
      <c r="AT255" s="77"/>
      <c r="AU255" s="75"/>
      <c r="AV255" s="75"/>
      <c r="AW255" s="75"/>
      <c r="AX255" s="75"/>
      <c r="AY255" s="78"/>
      <c r="AZ255" s="77"/>
      <c r="BA255" s="75"/>
      <c r="BB255" s="75"/>
      <c r="BC255" s="75"/>
      <c r="BD255" s="75"/>
      <c r="BE255" s="78"/>
      <c r="BF255" s="77"/>
      <c r="BG255" s="75"/>
      <c r="BH255" s="75"/>
      <c r="BI255" s="75"/>
      <c r="BJ255" s="75"/>
      <c r="BK255" s="78"/>
      <c r="BM255" s="122"/>
      <c r="BN255" s="123"/>
      <c r="BO255" s="123"/>
      <c r="BP255" s="123"/>
      <c r="BQ255" s="123"/>
      <c r="BR255" s="123"/>
      <c r="BS255" s="124"/>
      <c r="BT255" s="74"/>
      <c r="BU255" s="122"/>
      <c r="BV255" s="123"/>
      <c r="BW255" s="123"/>
      <c r="BX255" s="123"/>
      <c r="BY255" s="123"/>
      <c r="BZ255" s="123"/>
      <c r="CA255" s="123"/>
    </row>
    <row r="256" spans="1:79">
      <c r="A256" s="147" t="str">
        <f t="shared" si="577"/>
        <v>D</v>
      </c>
      <c r="B256" s="148">
        <f t="shared" si="578"/>
        <v>70000</v>
      </c>
      <c r="C256" s="149" t="s">
        <v>206</v>
      </c>
      <c r="D256" s="150" t="s">
        <v>0</v>
      </c>
      <c r="E256" s="150" t="s">
        <v>0</v>
      </c>
      <c r="F256" s="145" t="s">
        <v>176</v>
      </c>
      <c r="G256" s="150" t="s">
        <v>201</v>
      </c>
      <c r="H256" s="150" t="s">
        <v>0</v>
      </c>
      <c r="I256" s="150" t="s">
        <v>0</v>
      </c>
      <c r="J256" s="151" t="s">
        <v>54</v>
      </c>
      <c r="K256" s="13">
        <v>30</v>
      </c>
      <c r="L256" s="12" t="s">
        <v>56</v>
      </c>
      <c r="M256" s="13">
        <v>7.5</v>
      </c>
      <c r="N256" s="13">
        <v>0</v>
      </c>
      <c r="O256" s="14">
        <v>7.5</v>
      </c>
      <c r="P256" s="113">
        <f t="shared" ref="P256:P260" si="723">SUM(BM256:BS256)</f>
        <v>30</v>
      </c>
      <c r="Q256" s="114">
        <f t="shared" ref="Q256:Q260" si="724">K256-P256</f>
        <v>0</v>
      </c>
      <c r="R256" s="114">
        <f t="shared" ref="R256:R260" si="725">SUM(BU256:CA256)</f>
        <v>7.5</v>
      </c>
      <c r="S256" s="114">
        <f t="shared" ref="S256:S260" si="726">O256-R256</f>
        <v>0</v>
      </c>
      <c r="T256" s="93">
        <f t="shared" ref="T256:T260" si="727">R256/O256</f>
        <v>1</v>
      </c>
      <c r="U256" t="s">
        <v>0</v>
      </c>
      <c r="V256" s="79"/>
      <c r="W256" s="76"/>
      <c r="X256" s="76"/>
      <c r="Y256" s="76"/>
      <c r="Z256" s="76"/>
      <c r="AA256" s="80"/>
      <c r="AB256" s="79"/>
      <c r="AC256" s="76"/>
      <c r="AD256" s="76"/>
      <c r="AE256" s="76">
        <v>10</v>
      </c>
      <c r="AF256" s="76"/>
      <c r="AG256" s="80"/>
      <c r="AH256" s="79"/>
      <c r="AI256" s="76"/>
      <c r="AJ256" s="76"/>
      <c r="AK256" s="76">
        <v>15</v>
      </c>
      <c r="AL256" s="76"/>
      <c r="AM256" s="80"/>
      <c r="AN256" s="79">
        <v>5</v>
      </c>
      <c r="AO256" s="76"/>
      <c r="AP256" s="76"/>
      <c r="AQ256" s="76"/>
      <c r="AR256" s="76"/>
      <c r="AS256" s="80"/>
      <c r="AT256" s="79"/>
      <c r="AU256" s="76"/>
      <c r="AV256" s="76"/>
      <c r="AW256" s="76"/>
      <c r="AX256" s="76"/>
      <c r="AY256" s="80"/>
      <c r="AZ256" s="79"/>
      <c r="BA256" s="76"/>
      <c r="BB256" s="76"/>
      <c r="BC256" s="76"/>
      <c r="BD256" s="76"/>
      <c r="BE256" s="80"/>
      <c r="BF256" s="79"/>
      <c r="BG256" s="76"/>
      <c r="BH256" s="76"/>
      <c r="BI256" s="76"/>
      <c r="BJ256" s="76"/>
      <c r="BK256" s="80"/>
      <c r="BM256" s="125">
        <f t="shared" ref="BM256:BM260" si="728">SUM(V256:AA256)</f>
        <v>0</v>
      </c>
      <c r="BN256" s="126">
        <f t="shared" ref="BN256:BN260" si="729">SUM(AB256:AG256)</f>
        <v>10</v>
      </c>
      <c r="BO256" s="126">
        <f t="shared" ref="BO256:BO260" si="730">SUM(AH256:AM256)</f>
        <v>15</v>
      </c>
      <c r="BP256" s="126">
        <f t="shared" ref="BP256:BP260" si="731">SUM(AN256:AS256)</f>
        <v>5</v>
      </c>
      <c r="BQ256" s="126">
        <f>SUM(AT256:AY256)</f>
        <v>0</v>
      </c>
      <c r="BR256" s="126">
        <f t="shared" ref="BR256:BS260" si="732">SUM(AZ256:BE256)</f>
        <v>0</v>
      </c>
      <c r="BS256" s="127">
        <f t="shared" ref="BS256:BS260" si="733">SUM(BF256:BK256)</f>
        <v>0</v>
      </c>
      <c r="BT256" s="74"/>
      <c r="BU256" s="125">
        <f t="shared" ref="BU256:BU260" si="734">(BM256/$K256)*$O256</f>
        <v>0</v>
      </c>
      <c r="BV256" s="126">
        <f t="shared" ref="BV256:BV260" si="735">(BN256/$K256)*$O256</f>
        <v>2.5</v>
      </c>
      <c r="BW256" s="126">
        <f t="shared" ref="BW256:BW260" si="736">(BO256/$K256)*$O256</f>
        <v>3.75</v>
      </c>
      <c r="BX256" s="126">
        <f t="shared" ref="BX256:BX260" si="737">(BP256/$K256)*$O256</f>
        <v>1.25</v>
      </c>
      <c r="BY256" s="126">
        <f t="shared" ref="BY256:CA260" si="738">(BQ256/$K256)*$O256</f>
        <v>0</v>
      </c>
      <c r="BZ256" s="126">
        <f t="shared" si="738"/>
        <v>0</v>
      </c>
      <c r="CA256" s="126">
        <f t="shared" si="738"/>
        <v>0</v>
      </c>
    </row>
    <row r="257" spans="1:79">
      <c r="A257" s="147" t="str">
        <f t="shared" si="577"/>
        <v>D</v>
      </c>
      <c r="B257" s="148">
        <f t="shared" si="578"/>
        <v>70000</v>
      </c>
      <c r="C257" s="149" t="s">
        <v>206</v>
      </c>
      <c r="D257" s="150" t="s">
        <v>0</v>
      </c>
      <c r="E257" s="150" t="s">
        <v>0</v>
      </c>
      <c r="F257" s="145" t="s">
        <v>177</v>
      </c>
      <c r="G257" s="150" t="s">
        <v>201</v>
      </c>
      <c r="H257" s="150" t="s">
        <v>0</v>
      </c>
      <c r="I257" s="150" t="s">
        <v>0</v>
      </c>
      <c r="J257" s="151" t="s">
        <v>54</v>
      </c>
      <c r="K257" s="13">
        <v>1</v>
      </c>
      <c r="L257" s="12" t="s">
        <v>32</v>
      </c>
      <c r="M257" s="13">
        <v>2.5</v>
      </c>
      <c r="N257" s="13">
        <v>2.75</v>
      </c>
      <c r="O257" s="14">
        <v>5.25</v>
      </c>
      <c r="P257" s="113">
        <f t="shared" si="723"/>
        <v>1</v>
      </c>
      <c r="Q257" s="114">
        <f t="shared" si="724"/>
        <v>0</v>
      </c>
      <c r="R257" s="114">
        <f t="shared" si="725"/>
        <v>5.25</v>
      </c>
      <c r="S257" s="114">
        <f t="shared" si="726"/>
        <v>0</v>
      </c>
      <c r="T257" s="93">
        <f t="shared" si="727"/>
        <v>1</v>
      </c>
      <c r="U257" t="s">
        <v>0</v>
      </c>
      <c r="V257" s="79"/>
      <c r="W257" s="76"/>
      <c r="X257" s="76"/>
      <c r="Y257" s="76"/>
      <c r="Z257" s="76"/>
      <c r="AA257" s="80"/>
      <c r="AB257" s="79"/>
      <c r="AC257" s="76"/>
      <c r="AD257" s="76"/>
      <c r="AE257" s="76"/>
      <c r="AF257" s="76"/>
      <c r="AG257" s="80"/>
      <c r="AH257" s="79"/>
      <c r="AI257" s="76"/>
      <c r="AJ257" s="76"/>
      <c r="AK257" s="76">
        <v>1</v>
      </c>
      <c r="AL257" s="76"/>
      <c r="AM257" s="80"/>
      <c r="AN257" s="79"/>
      <c r="AO257" s="76"/>
      <c r="AP257" s="76"/>
      <c r="AQ257" s="76"/>
      <c r="AR257" s="76"/>
      <c r="AS257" s="80"/>
      <c r="AT257" s="79"/>
      <c r="AU257" s="76"/>
      <c r="AV257" s="76"/>
      <c r="AW257" s="76"/>
      <c r="AX257" s="76"/>
      <c r="AY257" s="80"/>
      <c r="AZ257" s="79"/>
      <c r="BA257" s="76"/>
      <c r="BB257" s="76"/>
      <c r="BC257" s="76"/>
      <c r="BD257" s="76"/>
      <c r="BE257" s="80"/>
      <c r="BF257" s="79"/>
      <c r="BG257" s="76"/>
      <c r="BH257" s="76"/>
      <c r="BI257" s="76"/>
      <c r="BJ257" s="76"/>
      <c r="BK257" s="80"/>
      <c r="BM257" s="125">
        <f t="shared" si="728"/>
        <v>0</v>
      </c>
      <c r="BN257" s="126">
        <f t="shared" si="729"/>
        <v>0</v>
      </c>
      <c r="BO257" s="126">
        <f t="shared" si="730"/>
        <v>1</v>
      </c>
      <c r="BP257" s="126">
        <f t="shared" si="731"/>
        <v>0</v>
      </c>
      <c r="BQ257" s="126">
        <f>SUM(AT257:AY257)</f>
        <v>0</v>
      </c>
      <c r="BR257" s="126">
        <f t="shared" si="732"/>
        <v>0</v>
      </c>
      <c r="BS257" s="127">
        <f t="shared" si="733"/>
        <v>0</v>
      </c>
      <c r="BT257" s="74"/>
      <c r="BU257" s="125">
        <f t="shared" si="734"/>
        <v>0</v>
      </c>
      <c r="BV257" s="126">
        <f t="shared" si="735"/>
        <v>0</v>
      </c>
      <c r="BW257" s="126">
        <f t="shared" si="736"/>
        <v>5.25</v>
      </c>
      <c r="BX257" s="126">
        <f t="shared" si="737"/>
        <v>0</v>
      </c>
      <c r="BY257" s="126">
        <f t="shared" si="738"/>
        <v>0</v>
      </c>
      <c r="BZ257" s="126">
        <f t="shared" si="738"/>
        <v>0</v>
      </c>
      <c r="CA257" s="126">
        <f t="shared" si="738"/>
        <v>0</v>
      </c>
    </row>
    <row r="258" spans="1:79">
      <c r="A258" s="147" t="str">
        <f t="shared" si="577"/>
        <v>D</v>
      </c>
      <c r="B258" s="148">
        <f t="shared" si="578"/>
        <v>70000</v>
      </c>
      <c r="C258" s="149" t="s">
        <v>206</v>
      </c>
      <c r="D258" s="150" t="s">
        <v>0</v>
      </c>
      <c r="E258" s="150" t="s">
        <v>0</v>
      </c>
      <c r="F258" s="145" t="s">
        <v>178</v>
      </c>
      <c r="G258" s="150" t="s">
        <v>201</v>
      </c>
      <c r="H258" s="150" t="s">
        <v>0</v>
      </c>
      <c r="I258" s="150" t="s">
        <v>0</v>
      </c>
      <c r="J258" s="151" t="s">
        <v>54</v>
      </c>
      <c r="K258" s="13">
        <v>1</v>
      </c>
      <c r="L258" s="12" t="s">
        <v>32</v>
      </c>
      <c r="M258" s="13">
        <v>2</v>
      </c>
      <c r="N258" s="13">
        <v>0</v>
      </c>
      <c r="O258" s="14">
        <v>2</v>
      </c>
      <c r="P258" s="113">
        <f t="shared" si="723"/>
        <v>1</v>
      </c>
      <c r="Q258" s="114">
        <f t="shared" si="724"/>
        <v>0</v>
      </c>
      <c r="R258" s="114">
        <f t="shared" si="725"/>
        <v>2</v>
      </c>
      <c r="S258" s="114">
        <f t="shared" si="726"/>
        <v>0</v>
      </c>
      <c r="T258" s="93">
        <f t="shared" si="727"/>
        <v>1</v>
      </c>
      <c r="U258" t="s">
        <v>0</v>
      </c>
      <c r="V258" s="79"/>
      <c r="W258" s="76"/>
      <c r="X258" s="76"/>
      <c r="Y258" s="76"/>
      <c r="Z258" s="76"/>
      <c r="AA258" s="80"/>
      <c r="AB258" s="79"/>
      <c r="AC258" s="76"/>
      <c r="AD258" s="76"/>
      <c r="AE258" s="76"/>
      <c r="AF258" s="76"/>
      <c r="AG258" s="80"/>
      <c r="AH258" s="79"/>
      <c r="AI258" s="76"/>
      <c r="AJ258" s="76"/>
      <c r="AK258" s="76">
        <v>1</v>
      </c>
      <c r="AL258" s="76"/>
      <c r="AM258" s="80"/>
      <c r="AN258" s="79"/>
      <c r="AO258" s="76"/>
      <c r="AP258" s="76"/>
      <c r="AQ258" s="76"/>
      <c r="AR258" s="76"/>
      <c r="AS258" s="80"/>
      <c r="AT258" s="79"/>
      <c r="AU258" s="76"/>
      <c r="AV258" s="76"/>
      <c r="AW258" s="76"/>
      <c r="AX258" s="76"/>
      <c r="AY258" s="80"/>
      <c r="AZ258" s="79"/>
      <c r="BA258" s="76"/>
      <c r="BB258" s="76"/>
      <c r="BC258" s="76"/>
      <c r="BD258" s="76"/>
      <c r="BE258" s="80"/>
      <c r="BF258" s="79"/>
      <c r="BG258" s="76"/>
      <c r="BH258" s="76"/>
      <c r="BI258" s="76"/>
      <c r="BJ258" s="76"/>
      <c r="BK258" s="80"/>
      <c r="BM258" s="125">
        <f t="shared" si="728"/>
        <v>0</v>
      </c>
      <c r="BN258" s="126">
        <f t="shared" si="729"/>
        <v>0</v>
      </c>
      <c r="BO258" s="126">
        <f t="shared" si="730"/>
        <v>1</v>
      </c>
      <c r="BP258" s="126">
        <f t="shared" si="731"/>
        <v>0</v>
      </c>
      <c r="BQ258" s="126">
        <f>SUM(AT258:AY258)</f>
        <v>0</v>
      </c>
      <c r="BR258" s="126">
        <f t="shared" si="732"/>
        <v>0</v>
      </c>
      <c r="BS258" s="127">
        <f t="shared" si="733"/>
        <v>0</v>
      </c>
      <c r="BT258" s="74"/>
      <c r="BU258" s="125">
        <f t="shared" si="734"/>
        <v>0</v>
      </c>
      <c r="BV258" s="126">
        <f t="shared" si="735"/>
        <v>0</v>
      </c>
      <c r="BW258" s="126">
        <f t="shared" si="736"/>
        <v>2</v>
      </c>
      <c r="BX258" s="126">
        <f t="shared" si="737"/>
        <v>0</v>
      </c>
      <c r="BY258" s="126">
        <f t="shared" si="738"/>
        <v>0</v>
      </c>
      <c r="BZ258" s="126">
        <f t="shared" si="738"/>
        <v>0</v>
      </c>
      <c r="CA258" s="126">
        <f t="shared" si="738"/>
        <v>0</v>
      </c>
    </row>
    <row r="259" spans="1:79">
      <c r="A259" s="147" t="str">
        <f t="shared" si="577"/>
        <v>D</v>
      </c>
      <c r="B259" s="148">
        <f t="shared" si="578"/>
        <v>70000</v>
      </c>
      <c r="C259" s="149" t="s">
        <v>206</v>
      </c>
      <c r="D259" s="150" t="s">
        <v>0</v>
      </c>
      <c r="E259" s="150" t="s">
        <v>0</v>
      </c>
      <c r="F259" s="145" t="s">
        <v>180</v>
      </c>
      <c r="G259" s="150" t="s">
        <v>201</v>
      </c>
      <c r="H259" s="150" t="s">
        <v>0</v>
      </c>
      <c r="I259" s="150" t="s">
        <v>0</v>
      </c>
      <c r="J259" s="151" t="s">
        <v>54</v>
      </c>
      <c r="K259" s="13">
        <v>3</v>
      </c>
      <c r="L259" s="12" t="s">
        <v>32</v>
      </c>
      <c r="M259" s="13">
        <v>4.5</v>
      </c>
      <c r="N259" s="13">
        <v>0</v>
      </c>
      <c r="O259" s="14">
        <v>4.5</v>
      </c>
      <c r="P259" s="113">
        <f t="shared" si="723"/>
        <v>3</v>
      </c>
      <c r="Q259" s="114">
        <f t="shared" si="724"/>
        <v>0</v>
      </c>
      <c r="R259" s="114">
        <f t="shared" si="725"/>
        <v>4.5</v>
      </c>
      <c r="S259" s="114">
        <f t="shared" si="726"/>
        <v>0</v>
      </c>
      <c r="T259" s="93">
        <f t="shared" si="727"/>
        <v>1</v>
      </c>
      <c r="U259" t="s">
        <v>0</v>
      </c>
      <c r="V259" s="79"/>
      <c r="W259" s="76"/>
      <c r="X259" s="76"/>
      <c r="Y259" s="76"/>
      <c r="Z259" s="76"/>
      <c r="AA259" s="80"/>
      <c r="AB259" s="79"/>
      <c r="AC259" s="76"/>
      <c r="AD259" s="76"/>
      <c r="AE259" s="76"/>
      <c r="AF259" s="76"/>
      <c r="AG259" s="80"/>
      <c r="AH259" s="79"/>
      <c r="AI259" s="76"/>
      <c r="AJ259" s="76"/>
      <c r="AK259" s="76">
        <v>3</v>
      </c>
      <c r="AL259" s="76"/>
      <c r="AM259" s="80"/>
      <c r="AN259" s="79"/>
      <c r="AO259" s="76"/>
      <c r="AP259" s="76"/>
      <c r="AQ259" s="76"/>
      <c r="AR259" s="76"/>
      <c r="AS259" s="80"/>
      <c r="AT259" s="79"/>
      <c r="AU259" s="76"/>
      <c r="AV259" s="76"/>
      <c r="AW259" s="76"/>
      <c r="AX259" s="76"/>
      <c r="AY259" s="80"/>
      <c r="AZ259" s="79"/>
      <c r="BA259" s="76"/>
      <c r="BB259" s="76"/>
      <c r="BC259" s="76"/>
      <c r="BD259" s="76"/>
      <c r="BE259" s="80"/>
      <c r="BF259" s="79"/>
      <c r="BG259" s="76"/>
      <c r="BH259" s="76"/>
      <c r="BI259" s="76"/>
      <c r="BJ259" s="76"/>
      <c r="BK259" s="80"/>
      <c r="BM259" s="125">
        <f t="shared" si="728"/>
        <v>0</v>
      </c>
      <c r="BN259" s="126">
        <f t="shared" si="729"/>
        <v>0</v>
      </c>
      <c r="BO259" s="126">
        <f t="shared" si="730"/>
        <v>3</v>
      </c>
      <c r="BP259" s="126">
        <f t="shared" si="731"/>
        <v>0</v>
      </c>
      <c r="BQ259" s="126">
        <f>SUM(AT259:AY259)</f>
        <v>0</v>
      </c>
      <c r="BR259" s="126">
        <f t="shared" si="732"/>
        <v>0</v>
      </c>
      <c r="BS259" s="127">
        <f t="shared" si="733"/>
        <v>0</v>
      </c>
      <c r="BT259" s="74"/>
      <c r="BU259" s="125">
        <f t="shared" si="734"/>
        <v>0</v>
      </c>
      <c r="BV259" s="126">
        <f t="shared" si="735"/>
        <v>0</v>
      </c>
      <c r="BW259" s="126">
        <f t="shared" si="736"/>
        <v>4.5</v>
      </c>
      <c r="BX259" s="126">
        <f t="shared" si="737"/>
        <v>0</v>
      </c>
      <c r="BY259" s="126">
        <f t="shared" si="738"/>
        <v>0</v>
      </c>
      <c r="BZ259" s="126">
        <f t="shared" si="738"/>
        <v>0</v>
      </c>
      <c r="CA259" s="126">
        <f t="shared" si="738"/>
        <v>0</v>
      </c>
    </row>
    <row r="260" spans="1:79">
      <c r="A260" s="147" t="str">
        <f t="shared" si="577"/>
        <v>D</v>
      </c>
      <c r="B260" s="148">
        <f t="shared" si="578"/>
        <v>70000</v>
      </c>
      <c r="C260" s="149" t="s">
        <v>206</v>
      </c>
      <c r="D260" s="150" t="s">
        <v>0</v>
      </c>
      <c r="E260" s="150" t="s">
        <v>0</v>
      </c>
      <c r="F260" s="145" t="s">
        <v>181</v>
      </c>
      <c r="G260" s="150" t="s">
        <v>201</v>
      </c>
      <c r="H260" s="150" t="s">
        <v>0</v>
      </c>
      <c r="I260" s="150" t="s">
        <v>0</v>
      </c>
      <c r="J260" s="151" t="s">
        <v>54</v>
      </c>
      <c r="K260" s="13">
        <v>3</v>
      </c>
      <c r="L260" s="12" t="s">
        <v>32</v>
      </c>
      <c r="M260" s="13">
        <v>6</v>
      </c>
      <c r="N260" s="13">
        <v>0</v>
      </c>
      <c r="O260" s="14">
        <v>6</v>
      </c>
      <c r="P260" s="113">
        <f t="shared" si="723"/>
        <v>3</v>
      </c>
      <c r="Q260" s="114">
        <f t="shared" si="724"/>
        <v>0</v>
      </c>
      <c r="R260" s="114">
        <f t="shared" si="725"/>
        <v>6</v>
      </c>
      <c r="S260" s="114">
        <f t="shared" si="726"/>
        <v>0</v>
      </c>
      <c r="T260" s="93">
        <f t="shared" si="727"/>
        <v>1</v>
      </c>
      <c r="U260" t="s">
        <v>0</v>
      </c>
      <c r="V260" s="79"/>
      <c r="W260" s="76"/>
      <c r="X260" s="76"/>
      <c r="Y260" s="76"/>
      <c r="Z260" s="76"/>
      <c r="AA260" s="80"/>
      <c r="AB260" s="79"/>
      <c r="AC260" s="76"/>
      <c r="AD260" s="76"/>
      <c r="AE260" s="76"/>
      <c r="AF260" s="76"/>
      <c r="AG260" s="80"/>
      <c r="AH260" s="79"/>
      <c r="AI260" s="76"/>
      <c r="AJ260" s="76"/>
      <c r="AK260" s="76">
        <v>2</v>
      </c>
      <c r="AL260" s="76"/>
      <c r="AM260" s="80"/>
      <c r="AN260" s="79">
        <v>1</v>
      </c>
      <c r="AO260" s="76"/>
      <c r="AP260" s="76"/>
      <c r="AQ260" s="76"/>
      <c r="AR260" s="76"/>
      <c r="AS260" s="80"/>
      <c r="AT260" s="79"/>
      <c r="AU260" s="76"/>
      <c r="AV260" s="76"/>
      <c r="AW260" s="76"/>
      <c r="AX260" s="76"/>
      <c r="AY260" s="80"/>
      <c r="AZ260" s="79"/>
      <c r="BA260" s="76"/>
      <c r="BB260" s="76"/>
      <c r="BC260" s="76"/>
      <c r="BD260" s="76"/>
      <c r="BE260" s="80"/>
      <c r="BF260" s="79"/>
      <c r="BG260" s="76"/>
      <c r="BH260" s="76"/>
      <c r="BI260" s="76"/>
      <c r="BJ260" s="76"/>
      <c r="BK260" s="80"/>
      <c r="BM260" s="125">
        <f t="shared" si="728"/>
        <v>0</v>
      </c>
      <c r="BN260" s="126">
        <f t="shared" si="729"/>
        <v>0</v>
      </c>
      <c r="BO260" s="126">
        <f t="shared" si="730"/>
        <v>2</v>
      </c>
      <c r="BP260" s="126">
        <f t="shared" si="731"/>
        <v>1</v>
      </c>
      <c r="BQ260" s="126">
        <f>SUM(AT260:AY260)</f>
        <v>0</v>
      </c>
      <c r="BR260" s="126">
        <f t="shared" si="732"/>
        <v>0</v>
      </c>
      <c r="BS260" s="127">
        <f t="shared" si="733"/>
        <v>0</v>
      </c>
      <c r="BT260" s="74"/>
      <c r="BU260" s="125">
        <f t="shared" si="734"/>
        <v>0</v>
      </c>
      <c r="BV260" s="126">
        <f t="shared" si="735"/>
        <v>0</v>
      </c>
      <c r="BW260" s="126">
        <f t="shared" si="736"/>
        <v>4</v>
      </c>
      <c r="BX260" s="126">
        <f t="shared" si="737"/>
        <v>2</v>
      </c>
      <c r="BY260" s="126">
        <f t="shared" si="738"/>
        <v>0</v>
      </c>
      <c r="BZ260" s="126">
        <f t="shared" si="738"/>
        <v>0</v>
      </c>
      <c r="CA260" s="126">
        <f t="shared" si="738"/>
        <v>0</v>
      </c>
    </row>
    <row r="261" spans="1:79" ht="15.75">
      <c r="A261" s="152" t="str">
        <f t="shared" si="577"/>
        <v>P</v>
      </c>
      <c r="B261" s="153">
        <f t="shared" si="578"/>
        <v>70000</v>
      </c>
      <c r="C261" s="154" t="s">
        <v>208</v>
      </c>
      <c r="D261" s="155" t="s">
        <v>0</v>
      </c>
      <c r="E261" s="155" t="s">
        <v>0</v>
      </c>
      <c r="F261" s="156" t="s">
        <v>209</v>
      </c>
      <c r="G261" s="155" t="s">
        <v>201</v>
      </c>
      <c r="H261" s="155" t="s">
        <v>210</v>
      </c>
      <c r="I261" s="155" t="s">
        <v>211</v>
      </c>
      <c r="J261" s="157" t="s">
        <v>54</v>
      </c>
      <c r="K261" s="9">
        <v>35</v>
      </c>
      <c r="L261" s="8" t="s">
        <v>56</v>
      </c>
      <c r="M261" s="9">
        <v>14.55</v>
      </c>
      <c r="N261" s="9">
        <v>0.8</v>
      </c>
      <c r="O261" s="10">
        <v>15.35</v>
      </c>
      <c r="P261" s="111"/>
      <c r="Q261" s="112"/>
      <c r="R261" s="112">
        <f>SUMIFS(R262:R$415,$C262:$C$415,$C261)</f>
        <v>15.35</v>
      </c>
      <c r="S261" s="112">
        <f>SUMIFS(S262:S$415,$C262:$C$415,$C261)</f>
        <v>0</v>
      </c>
      <c r="T261" s="92">
        <f>R261/O261</f>
        <v>1</v>
      </c>
      <c r="V261" s="77"/>
      <c r="W261" s="75"/>
      <c r="X261" s="75"/>
      <c r="Y261" s="75"/>
      <c r="Z261" s="75"/>
      <c r="AA261" s="78"/>
      <c r="AB261" s="77"/>
      <c r="AC261" s="75"/>
      <c r="AD261" s="75"/>
      <c r="AE261" s="75"/>
      <c r="AF261" s="75"/>
      <c r="AG261" s="78"/>
      <c r="AH261" s="77"/>
      <c r="AI261" s="75"/>
      <c r="AJ261" s="75"/>
      <c r="AK261" s="75"/>
      <c r="AL261" s="75"/>
      <c r="AM261" s="78"/>
      <c r="AN261" s="77"/>
      <c r="AO261" s="75"/>
      <c r="AP261" s="75"/>
      <c r="AQ261" s="75"/>
      <c r="AR261" s="75"/>
      <c r="AS261" s="78"/>
      <c r="AT261" s="77"/>
      <c r="AU261" s="75"/>
      <c r="AV261" s="75"/>
      <c r="AW261" s="75"/>
      <c r="AX261" s="75"/>
      <c r="AY261" s="78"/>
      <c r="AZ261" s="77"/>
      <c r="BA261" s="75"/>
      <c r="BB261" s="75"/>
      <c r="BC261" s="75"/>
      <c r="BD261" s="75"/>
      <c r="BE261" s="78"/>
      <c r="BF261" s="77"/>
      <c r="BG261" s="75"/>
      <c r="BH261" s="75"/>
      <c r="BI261" s="75"/>
      <c r="BJ261" s="75"/>
      <c r="BK261" s="78"/>
      <c r="BM261" s="122"/>
      <c r="BN261" s="123"/>
      <c r="BO261" s="123"/>
      <c r="BP261" s="123"/>
      <c r="BQ261" s="123"/>
      <c r="BR261" s="123"/>
      <c r="BS261" s="124"/>
      <c r="BT261" s="74"/>
      <c r="BU261" s="122"/>
      <c r="BV261" s="123"/>
      <c r="BW261" s="123"/>
      <c r="BX261" s="123"/>
      <c r="BY261" s="123"/>
      <c r="BZ261" s="123"/>
      <c r="CA261" s="123"/>
    </row>
    <row r="262" spans="1:79">
      <c r="A262" s="147" t="str">
        <f t="shared" si="577"/>
        <v>D</v>
      </c>
      <c r="B262" s="148">
        <f t="shared" si="578"/>
        <v>70000</v>
      </c>
      <c r="C262" s="149" t="s">
        <v>208</v>
      </c>
      <c r="D262" s="150" t="s">
        <v>0</v>
      </c>
      <c r="E262" s="150" t="s">
        <v>0</v>
      </c>
      <c r="F262" s="145" t="s">
        <v>212</v>
      </c>
      <c r="G262" s="150" t="s">
        <v>201</v>
      </c>
      <c r="H262" s="150" t="s">
        <v>210</v>
      </c>
      <c r="I262" s="150" t="s">
        <v>211</v>
      </c>
      <c r="J262" s="151" t="s">
        <v>54</v>
      </c>
      <c r="K262" s="13">
        <v>35</v>
      </c>
      <c r="L262" s="12" t="s">
        <v>56</v>
      </c>
      <c r="M262" s="13">
        <v>7</v>
      </c>
      <c r="N262" s="13">
        <v>0</v>
      </c>
      <c r="O262" s="14">
        <v>7</v>
      </c>
      <c r="P262" s="113">
        <f t="shared" ref="P262:P265" si="739">SUM(BM262:BS262)</f>
        <v>35</v>
      </c>
      <c r="Q262" s="114">
        <f t="shared" ref="Q262:Q265" si="740">K262-P262</f>
        <v>0</v>
      </c>
      <c r="R262" s="114">
        <f t="shared" ref="R262:R265" si="741">SUM(BU262:CA262)</f>
        <v>7</v>
      </c>
      <c r="S262" s="114">
        <f t="shared" ref="S262:S265" si="742">O262-R262</f>
        <v>0</v>
      </c>
      <c r="T262" s="93">
        <f t="shared" ref="T262:T265" si="743">R262/O262</f>
        <v>1</v>
      </c>
      <c r="U262" t="s">
        <v>0</v>
      </c>
      <c r="V262" s="79"/>
      <c r="W262" s="76"/>
      <c r="X262" s="76"/>
      <c r="Y262" s="76"/>
      <c r="Z262" s="76"/>
      <c r="AA262" s="80"/>
      <c r="AB262" s="79"/>
      <c r="AC262" s="76"/>
      <c r="AD262" s="76"/>
      <c r="AE262" s="76"/>
      <c r="AF262" s="76"/>
      <c r="AG262" s="80"/>
      <c r="AH262" s="79"/>
      <c r="AI262" s="76"/>
      <c r="AJ262" s="76"/>
      <c r="AK262" s="76">
        <v>25</v>
      </c>
      <c r="AL262" s="76"/>
      <c r="AM262" s="80"/>
      <c r="AN262" s="79">
        <v>10</v>
      </c>
      <c r="AO262" s="76"/>
      <c r="AP262" s="76"/>
      <c r="AQ262" s="76"/>
      <c r="AR262" s="76"/>
      <c r="AS262" s="80"/>
      <c r="AT262" s="79"/>
      <c r="AU262" s="76"/>
      <c r="AV262" s="76"/>
      <c r="AW262" s="76"/>
      <c r="AX262" s="76"/>
      <c r="AY262" s="80"/>
      <c r="AZ262" s="79"/>
      <c r="BA262" s="76"/>
      <c r="BB262" s="76"/>
      <c r="BC262" s="76"/>
      <c r="BD262" s="76"/>
      <c r="BE262" s="80"/>
      <c r="BF262" s="79"/>
      <c r="BG262" s="76"/>
      <c r="BH262" s="76"/>
      <c r="BI262" s="76"/>
      <c r="BJ262" s="76"/>
      <c r="BK262" s="80"/>
      <c r="BM262" s="125">
        <f t="shared" ref="BM262:BM265" si="744">SUM(V262:AA262)</f>
        <v>0</v>
      </c>
      <c r="BN262" s="126">
        <f t="shared" ref="BN262:BN265" si="745">SUM(AB262:AG262)</f>
        <v>0</v>
      </c>
      <c r="BO262" s="126">
        <f t="shared" ref="BO262:BO265" si="746">SUM(AH262:AM262)</f>
        <v>25</v>
      </c>
      <c r="BP262" s="126">
        <f t="shared" ref="BP262:BP265" si="747">SUM(AN262:AS262)</f>
        <v>10</v>
      </c>
      <c r="BQ262" s="126">
        <f>SUM(AT262:AY262)</f>
        <v>0</v>
      </c>
      <c r="BR262" s="126">
        <f t="shared" ref="BR262:BS265" si="748">SUM(AZ262:BE262)</f>
        <v>0</v>
      </c>
      <c r="BS262" s="127">
        <f t="shared" ref="BS262:BS265" si="749">SUM(BF262:BK262)</f>
        <v>0</v>
      </c>
      <c r="BT262" s="74"/>
      <c r="BU262" s="125">
        <f t="shared" ref="BU262:BU265" si="750">(BM262/$K262)*$O262</f>
        <v>0</v>
      </c>
      <c r="BV262" s="126">
        <f t="shared" ref="BV262:BV265" si="751">(BN262/$K262)*$O262</f>
        <v>0</v>
      </c>
      <c r="BW262" s="126">
        <f t="shared" ref="BW262:BW265" si="752">(BO262/$K262)*$O262</f>
        <v>5</v>
      </c>
      <c r="BX262" s="126">
        <f t="shared" ref="BX262:BX265" si="753">(BP262/$K262)*$O262</f>
        <v>2</v>
      </c>
      <c r="BY262" s="126">
        <f t="shared" ref="BY262:CA265" si="754">(BQ262/$K262)*$O262</f>
        <v>0</v>
      </c>
      <c r="BZ262" s="126">
        <f t="shared" si="754"/>
        <v>0</v>
      </c>
      <c r="CA262" s="126">
        <f t="shared" si="754"/>
        <v>0</v>
      </c>
    </row>
    <row r="263" spans="1:79">
      <c r="A263" s="147" t="str">
        <f t="shared" si="577"/>
        <v>D</v>
      </c>
      <c r="B263" s="148">
        <f t="shared" si="578"/>
        <v>70000</v>
      </c>
      <c r="C263" s="149" t="s">
        <v>208</v>
      </c>
      <c r="D263" s="150" t="s">
        <v>0</v>
      </c>
      <c r="E263" s="150" t="s">
        <v>0</v>
      </c>
      <c r="F263" s="145" t="s">
        <v>213</v>
      </c>
      <c r="G263" s="150" t="s">
        <v>201</v>
      </c>
      <c r="H263" s="150" t="s">
        <v>210</v>
      </c>
      <c r="I263" s="150" t="s">
        <v>211</v>
      </c>
      <c r="J263" s="151" t="s">
        <v>54</v>
      </c>
      <c r="K263" s="13">
        <v>1</v>
      </c>
      <c r="L263" s="12" t="s">
        <v>32</v>
      </c>
      <c r="M263" s="13">
        <v>0.8</v>
      </c>
      <c r="N263" s="13">
        <v>0.8</v>
      </c>
      <c r="O263" s="14">
        <v>1.6</v>
      </c>
      <c r="P263" s="113">
        <f t="shared" si="739"/>
        <v>1</v>
      </c>
      <c r="Q263" s="114">
        <f t="shared" si="740"/>
        <v>0</v>
      </c>
      <c r="R263" s="114">
        <f t="shared" si="741"/>
        <v>1.6</v>
      </c>
      <c r="S263" s="114">
        <f t="shared" si="742"/>
        <v>0</v>
      </c>
      <c r="T263" s="93">
        <f t="shared" si="743"/>
        <v>1</v>
      </c>
      <c r="U263" t="s">
        <v>0</v>
      </c>
      <c r="V263" s="79"/>
      <c r="W263" s="76"/>
      <c r="X263" s="76"/>
      <c r="Y263" s="76"/>
      <c r="Z263" s="76"/>
      <c r="AA263" s="80"/>
      <c r="AB263" s="79"/>
      <c r="AC263" s="76"/>
      <c r="AD263" s="76"/>
      <c r="AE263" s="76"/>
      <c r="AF263" s="76"/>
      <c r="AG263" s="80"/>
      <c r="AH263" s="79"/>
      <c r="AI263" s="76"/>
      <c r="AJ263" s="76"/>
      <c r="AK263" s="76"/>
      <c r="AL263" s="76"/>
      <c r="AM263" s="80"/>
      <c r="AN263" s="79">
        <v>1</v>
      </c>
      <c r="AO263" s="76"/>
      <c r="AP263" s="76"/>
      <c r="AQ263" s="76"/>
      <c r="AR263" s="76"/>
      <c r="AS263" s="80"/>
      <c r="AT263" s="79"/>
      <c r="AU263" s="76"/>
      <c r="AV263" s="76"/>
      <c r="AW263" s="76"/>
      <c r="AX263" s="76"/>
      <c r="AY263" s="80"/>
      <c r="AZ263" s="79"/>
      <c r="BA263" s="76"/>
      <c r="BB263" s="76"/>
      <c r="BC263" s="76"/>
      <c r="BD263" s="76"/>
      <c r="BE263" s="80"/>
      <c r="BF263" s="79"/>
      <c r="BG263" s="76"/>
      <c r="BH263" s="76"/>
      <c r="BI263" s="76"/>
      <c r="BJ263" s="76"/>
      <c r="BK263" s="80"/>
      <c r="BM263" s="125">
        <f t="shared" si="744"/>
        <v>0</v>
      </c>
      <c r="BN263" s="126">
        <f t="shared" si="745"/>
        <v>0</v>
      </c>
      <c r="BO263" s="126">
        <f t="shared" si="746"/>
        <v>0</v>
      </c>
      <c r="BP263" s="126">
        <f t="shared" si="747"/>
        <v>1</v>
      </c>
      <c r="BQ263" s="126">
        <f>SUM(AT263:AY263)</f>
        <v>0</v>
      </c>
      <c r="BR263" s="126">
        <f t="shared" si="748"/>
        <v>0</v>
      </c>
      <c r="BS263" s="127">
        <f t="shared" si="749"/>
        <v>0</v>
      </c>
      <c r="BT263" s="74"/>
      <c r="BU263" s="125">
        <f t="shared" si="750"/>
        <v>0</v>
      </c>
      <c r="BV263" s="126">
        <f t="shared" si="751"/>
        <v>0</v>
      </c>
      <c r="BW263" s="126">
        <f t="shared" si="752"/>
        <v>0</v>
      </c>
      <c r="BX263" s="126">
        <f t="shared" si="753"/>
        <v>1.6</v>
      </c>
      <c r="BY263" s="126">
        <f t="shared" si="754"/>
        <v>0</v>
      </c>
      <c r="BZ263" s="126">
        <f t="shared" si="754"/>
        <v>0</v>
      </c>
      <c r="CA263" s="126">
        <f t="shared" si="754"/>
        <v>0</v>
      </c>
    </row>
    <row r="264" spans="1:79">
      <c r="A264" s="147" t="str">
        <f t="shared" si="577"/>
        <v>D</v>
      </c>
      <c r="B264" s="148">
        <f t="shared" si="578"/>
        <v>70000</v>
      </c>
      <c r="C264" s="149" t="s">
        <v>208</v>
      </c>
      <c r="D264" s="150" t="s">
        <v>0</v>
      </c>
      <c r="E264" s="150" t="s">
        <v>0</v>
      </c>
      <c r="F264" s="145" t="s">
        <v>215</v>
      </c>
      <c r="G264" s="150" t="s">
        <v>201</v>
      </c>
      <c r="H264" s="150" t="s">
        <v>210</v>
      </c>
      <c r="I264" s="150" t="s">
        <v>211</v>
      </c>
      <c r="J264" s="151" t="s">
        <v>54</v>
      </c>
      <c r="K264" s="13">
        <v>1</v>
      </c>
      <c r="L264" s="12" t="s">
        <v>32</v>
      </c>
      <c r="M264" s="13">
        <v>0.75</v>
      </c>
      <c r="N264" s="13">
        <v>0</v>
      </c>
      <c r="O264" s="14">
        <v>0.75</v>
      </c>
      <c r="P264" s="113">
        <f t="shared" si="739"/>
        <v>1</v>
      </c>
      <c r="Q264" s="114">
        <f t="shared" si="740"/>
        <v>0</v>
      </c>
      <c r="R264" s="114">
        <f t="shared" si="741"/>
        <v>0.75</v>
      </c>
      <c r="S264" s="114">
        <f t="shared" si="742"/>
        <v>0</v>
      </c>
      <c r="T264" s="93">
        <f t="shared" si="743"/>
        <v>1</v>
      </c>
      <c r="U264" t="s">
        <v>0</v>
      </c>
      <c r="V264" s="79"/>
      <c r="W264" s="76"/>
      <c r="X264" s="76"/>
      <c r="Y264" s="76"/>
      <c r="Z264" s="76"/>
      <c r="AA264" s="80"/>
      <c r="AB264" s="79"/>
      <c r="AC264" s="76"/>
      <c r="AD264" s="76"/>
      <c r="AE264" s="76"/>
      <c r="AF264" s="76"/>
      <c r="AG264" s="80"/>
      <c r="AH264" s="79"/>
      <c r="AI264" s="76"/>
      <c r="AJ264" s="76"/>
      <c r="AK264" s="76"/>
      <c r="AL264" s="76"/>
      <c r="AM264" s="80"/>
      <c r="AN264" s="79">
        <v>1</v>
      </c>
      <c r="AO264" s="76"/>
      <c r="AP264" s="76"/>
      <c r="AQ264" s="76"/>
      <c r="AR264" s="76"/>
      <c r="AS264" s="80"/>
      <c r="AT264" s="79"/>
      <c r="AU264" s="76"/>
      <c r="AV264" s="76"/>
      <c r="AW264" s="76"/>
      <c r="AX264" s="76"/>
      <c r="AY264" s="80"/>
      <c r="AZ264" s="79"/>
      <c r="BA264" s="76"/>
      <c r="BB264" s="76"/>
      <c r="BC264" s="76"/>
      <c r="BD264" s="76"/>
      <c r="BE264" s="80"/>
      <c r="BF264" s="79"/>
      <c r="BG264" s="76"/>
      <c r="BH264" s="76"/>
      <c r="BI264" s="76"/>
      <c r="BJ264" s="76"/>
      <c r="BK264" s="80"/>
      <c r="BM264" s="125">
        <f t="shared" si="744"/>
        <v>0</v>
      </c>
      <c r="BN264" s="126">
        <f t="shared" si="745"/>
        <v>0</v>
      </c>
      <c r="BO264" s="126">
        <f t="shared" si="746"/>
        <v>0</v>
      </c>
      <c r="BP264" s="126">
        <f t="shared" si="747"/>
        <v>1</v>
      </c>
      <c r="BQ264" s="126">
        <f>SUM(AT264:AY264)</f>
        <v>0</v>
      </c>
      <c r="BR264" s="126">
        <f t="shared" si="748"/>
        <v>0</v>
      </c>
      <c r="BS264" s="127">
        <f t="shared" si="749"/>
        <v>0</v>
      </c>
      <c r="BT264" s="74"/>
      <c r="BU264" s="125">
        <f t="shared" si="750"/>
        <v>0</v>
      </c>
      <c r="BV264" s="126">
        <f t="shared" si="751"/>
        <v>0</v>
      </c>
      <c r="BW264" s="126">
        <f t="shared" si="752"/>
        <v>0</v>
      </c>
      <c r="BX264" s="126">
        <f t="shared" si="753"/>
        <v>0.75</v>
      </c>
      <c r="BY264" s="126">
        <f t="shared" si="754"/>
        <v>0</v>
      </c>
      <c r="BZ264" s="126">
        <f t="shared" si="754"/>
        <v>0</v>
      </c>
      <c r="CA264" s="126">
        <f t="shared" si="754"/>
        <v>0</v>
      </c>
    </row>
    <row r="265" spans="1:79">
      <c r="A265" s="147" t="str">
        <f t="shared" si="577"/>
        <v>D</v>
      </c>
      <c r="B265" s="148">
        <f t="shared" si="578"/>
        <v>70000</v>
      </c>
      <c r="C265" s="149" t="s">
        <v>208</v>
      </c>
      <c r="D265" s="150" t="s">
        <v>0</v>
      </c>
      <c r="E265" s="150" t="s">
        <v>0</v>
      </c>
      <c r="F265" s="145" t="s">
        <v>217</v>
      </c>
      <c r="G265" s="150" t="s">
        <v>201</v>
      </c>
      <c r="H265" s="150" t="s">
        <v>210</v>
      </c>
      <c r="I265" s="150" t="s">
        <v>211</v>
      </c>
      <c r="J265" s="151" t="s">
        <v>54</v>
      </c>
      <c r="K265" s="13">
        <v>2</v>
      </c>
      <c r="L265" s="12" t="s">
        <v>32</v>
      </c>
      <c r="M265" s="13">
        <v>6</v>
      </c>
      <c r="N265" s="13">
        <v>0</v>
      </c>
      <c r="O265" s="14">
        <v>6</v>
      </c>
      <c r="P265" s="113">
        <f t="shared" si="739"/>
        <v>2</v>
      </c>
      <c r="Q265" s="114">
        <f t="shared" si="740"/>
        <v>0</v>
      </c>
      <c r="R265" s="114">
        <f t="shared" si="741"/>
        <v>6</v>
      </c>
      <c r="S265" s="114">
        <f t="shared" si="742"/>
        <v>0</v>
      </c>
      <c r="T265" s="93">
        <f t="shared" si="743"/>
        <v>1</v>
      </c>
      <c r="U265" t="s">
        <v>0</v>
      </c>
      <c r="V265" s="79"/>
      <c r="W265" s="76"/>
      <c r="X265" s="76"/>
      <c r="Y265" s="76"/>
      <c r="Z265" s="76"/>
      <c r="AA265" s="80"/>
      <c r="AB265" s="79"/>
      <c r="AC265" s="76"/>
      <c r="AD265" s="76"/>
      <c r="AE265" s="76"/>
      <c r="AF265" s="76"/>
      <c r="AG265" s="80"/>
      <c r="AH265" s="79"/>
      <c r="AI265" s="76"/>
      <c r="AJ265" s="76"/>
      <c r="AK265" s="76"/>
      <c r="AL265" s="76"/>
      <c r="AM265" s="80"/>
      <c r="AN265" s="79"/>
      <c r="AO265" s="76"/>
      <c r="AP265" s="76"/>
      <c r="AQ265" s="76"/>
      <c r="AR265" s="76"/>
      <c r="AS265" s="80"/>
      <c r="AT265" s="79"/>
      <c r="AU265" s="76"/>
      <c r="AV265" s="76"/>
      <c r="AW265" s="76">
        <v>2</v>
      </c>
      <c r="AX265" s="76"/>
      <c r="AY265" s="80"/>
      <c r="AZ265" s="79"/>
      <c r="BA265" s="76"/>
      <c r="BB265" s="76"/>
      <c r="BC265" s="76"/>
      <c r="BD265" s="76"/>
      <c r="BE265" s="80"/>
      <c r="BF265" s="79"/>
      <c r="BG265" s="76"/>
      <c r="BH265" s="76"/>
      <c r="BI265" s="76"/>
      <c r="BJ265" s="76"/>
      <c r="BK265" s="80"/>
      <c r="BM265" s="125">
        <f t="shared" si="744"/>
        <v>0</v>
      </c>
      <c r="BN265" s="126">
        <f t="shared" si="745"/>
        <v>0</v>
      </c>
      <c r="BO265" s="126">
        <f t="shared" si="746"/>
        <v>0</v>
      </c>
      <c r="BP265" s="126">
        <f t="shared" si="747"/>
        <v>0</v>
      </c>
      <c r="BQ265" s="126">
        <f>SUM(AT265:AY265)</f>
        <v>2</v>
      </c>
      <c r="BR265" s="126">
        <f t="shared" si="748"/>
        <v>0</v>
      </c>
      <c r="BS265" s="127">
        <f t="shared" si="749"/>
        <v>0</v>
      </c>
      <c r="BT265" s="74"/>
      <c r="BU265" s="125">
        <f t="shared" si="750"/>
        <v>0</v>
      </c>
      <c r="BV265" s="126">
        <f t="shared" si="751"/>
        <v>0</v>
      </c>
      <c r="BW265" s="126">
        <f t="shared" si="752"/>
        <v>0</v>
      </c>
      <c r="BX265" s="126">
        <f t="shared" si="753"/>
        <v>0</v>
      </c>
      <c r="BY265" s="126">
        <f t="shared" si="754"/>
        <v>6</v>
      </c>
      <c r="BZ265" s="126">
        <f t="shared" si="754"/>
        <v>0</v>
      </c>
      <c r="CA265" s="126">
        <f t="shared" si="754"/>
        <v>0</v>
      </c>
    </row>
    <row r="266" spans="1:79" ht="15.75">
      <c r="A266" s="152" t="str">
        <f t="shared" si="577"/>
        <v>P</v>
      </c>
      <c r="B266" s="153">
        <f t="shared" si="578"/>
        <v>70000</v>
      </c>
      <c r="C266" s="154" t="s">
        <v>218</v>
      </c>
      <c r="D266" s="155" t="s">
        <v>0</v>
      </c>
      <c r="E266" s="155" t="s">
        <v>0</v>
      </c>
      <c r="F266" s="156" t="s">
        <v>219</v>
      </c>
      <c r="G266" s="155" t="s">
        <v>201</v>
      </c>
      <c r="H266" s="155" t="s">
        <v>210</v>
      </c>
      <c r="I266" s="155" t="s">
        <v>211</v>
      </c>
      <c r="J266" s="157" t="s">
        <v>54</v>
      </c>
      <c r="K266" s="9">
        <v>16</v>
      </c>
      <c r="L266" s="8" t="s">
        <v>56</v>
      </c>
      <c r="M266" s="9">
        <v>11.7</v>
      </c>
      <c r="N266" s="9">
        <v>0.8</v>
      </c>
      <c r="O266" s="10">
        <v>12.5</v>
      </c>
      <c r="P266" s="111"/>
      <c r="Q266" s="112"/>
      <c r="R266" s="112">
        <f>SUMIFS(R267:R$415,$C267:$C$415,$C266)</f>
        <v>12.5</v>
      </c>
      <c r="S266" s="112">
        <f>SUMIFS(S267:S$415,$C267:$C$415,$C266)</f>
        <v>0</v>
      </c>
      <c r="T266" s="92">
        <f>R266/O266</f>
        <v>1</v>
      </c>
      <c r="V266" s="77"/>
      <c r="W266" s="75"/>
      <c r="X266" s="75"/>
      <c r="Y266" s="75"/>
      <c r="Z266" s="75"/>
      <c r="AA266" s="78"/>
      <c r="AB266" s="77"/>
      <c r="AC266" s="75"/>
      <c r="AD266" s="75"/>
      <c r="AE266" s="75"/>
      <c r="AF266" s="75"/>
      <c r="AG266" s="78"/>
      <c r="AH266" s="77"/>
      <c r="AI266" s="75"/>
      <c r="AJ266" s="75"/>
      <c r="AK266" s="75"/>
      <c r="AL266" s="75"/>
      <c r="AM266" s="78"/>
      <c r="AN266" s="77"/>
      <c r="AO266" s="75"/>
      <c r="AP266" s="75"/>
      <c r="AQ266" s="75"/>
      <c r="AR266" s="75"/>
      <c r="AS266" s="78"/>
      <c r="AT266" s="77"/>
      <c r="AU266" s="75"/>
      <c r="AV266" s="75"/>
      <c r="AW266" s="75"/>
      <c r="AX266" s="75"/>
      <c r="AY266" s="78"/>
      <c r="AZ266" s="77"/>
      <c r="BA266" s="75"/>
      <c r="BB266" s="75"/>
      <c r="BC266" s="75"/>
      <c r="BD266" s="75"/>
      <c r="BE266" s="78"/>
      <c r="BF266" s="77"/>
      <c r="BG266" s="75"/>
      <c r="BH266" s="75"/>
      <c r="BI266" s="75"/>
      <c r="BJ266" s="75"/>
      <c r="BK266" s="78"/>
      <c r="BM266" s="122"/>
      <c r="BN266" s="123"/>
      <c r="BO266" s="123"/>
      <c r="BP266" s="123"/>
      <c r="BQ266" s="123"/>
      <c r="BR266" s="123"/>
      <c r="BS266" s="124"/>
      <c r="BT266" s="74"/>
      <c r="BU266" s="122"/>
      <c r="BV266" s="123"/>
      <c r="BW266" s="123"/>
      <c r="BX266" s="123"/>
      <c r="BY266" s="123"/>
      <c r="BZ266" s="123"/>
      <c r="CA266" s="123"/>
    </row>
    <row r="267" spans="1:79">
      <c r="A267" s="147" t="str">
        <f t="shared" ref="A267:A330" si="755">IF(C267=C266,"D",(IF(C267="WBS","W","P")))</f>
        <v>D</v>
      </c>
      <c r="B267" s="148">
        <f t="shared" ref="B267:B330" si="756">IF(C267="WBS",B268,VALUE(IF(C267=0,0,IF(LEN(C267)=5,LEFT(C267,1)&amp;"0000",LEFT(C267,2)&amp;"0000"))))</f>
        <v>70000</v>
      </c>
      <c r="C267" s="149" t="s">
        <v>218</v>
      </c>
      <c r="D267" s="150" t="s">
        <v>0</v>
      </c>
      <c r="E267" s="150" t="s">
        <v>0</v>
      </c>
      <c r="F267" s="145" t="s">
        <v>212</v>
      </c>
      <c r="G267" s="150" t="s">
        <v>201</v>
      </c>
      <c r="H267" s="150" t="s">
        <v>210</v>
      </c>
      <c r="I267" s="150" t="s">
        <v>211</v>
      </c>
      <c r="J267" s="151" t="s">
        <v>54</v>
      </c>
      <c r="K267" s="13">
        <v>16</v>
      </c>
      <c r="L267" s="12" t="s">
        <v>56</v>
      </c>
      <c r="M267" s="13">
        <v>3.2</v>
      </c>
      <c r="N267" s="13">
        <v>0</v>
      </c>
      <c r="O267" s="14">
        <v>3.2</v>
      </c>
      <c r="P267" s="113">
        <f t="shared" ref="P267:P272" si="757">SUM(BM267:BS267)</f>
        <v>16</v>
      </c>
      <c r="Q267" s="114">
        <f t="shared" ref="Q267:Q272" si="758">K267-P267</f>
        <v>0</v>
      </c>
      <c r="R267" s="114">
        <f t="shared" ref="R267:R272" si="759">SUM(BU267:CA267)</f>
        <v>3.2</v>
      </c>
      <c r="S267" s="114">
        <f t="shared" ref="S267:S272" si="760">O267-R267</f>
        <v>0</v>
      </c>
      <c r="T267" s="93">
        <f t="shared" ref="T267:T272" si="761">R267/O267</f>
        <v>1</v>
      </c>
      <c r="U267" t="s">
        <v>0</v>
      </c>
      <c r="V267" s="79"/>
      <c r="W267" s="76"/>
      <c r="X267" s="76"/>
      <c r="Y267" s="76"/>
      <c r="Z267" s="76"/>
      <c r="AA267" s="80"/>
      <c r="AB267" s="79"/>
      <c r="AC267" s="76"/>
      <c r="AD267" s="76"/>
      <c r="AE267" s="76"/>
      <c r="AF267" s="76"/>
      <c r="AG267" s="80"/>
      <c r="AH267" s="79"/>
      <c r="AI267" s="76"/>
      <c r="AJ267" s="76"/>
      <c r="AK267" s="76"/>
      <c r="AL267" s="76"/>
      <c r="AM267" s="80"/>
      <c r="AN267" s="79">
        <v>16</v>
      </c>
      <c r="AO267" s="76"/>
      <c r="AP267" s="76"/>
      <c r="AQ267" s="76"/>
      <c r="AR267" s="76"/>
      <c r="AS267" s="80"/>
      <c r="AT267" s="79"/>
      <c r="AU267" s="76"/>
      <c r="AV267" s="76"/>
      <c r="AW267" s="76"/>
      <c r="AX267" s="76"/>
      <c r="AY267" s="80"/>
      <c r="AZ267" s="79"/>
      <c r="BA267" s="76"/>
      <c r="BB267" s="76"/>
      <c r="BC267" s="76"/>
      <c r="BD267" s="76"/>
      <c r="BE267" s="80"/>
      <c r="BF267" s="79"/>
      <c r="BG267" s="76"/>
      <c r="BH267" s="76"/>
      <c r="BI267" s="76"/>
      <c r="BJ267" s="76"/>
      <c r="BK267" s="80"/>
      <c r="BM267" s="125">
        <f t="shared" ref="BM267:BM272" si="762">SUM(V267:AA267)</f>
        <v>0</v>
      </c>
      <c r="BN267" s="126">
        <f t="shared" ref="BN267:BN272" si="763">SUM(AB267:AG267)</f>
        <v>0</v>
      </c>
      <c r="BO267" s="126">
        <f t="shared" ref="BO267:BO272" si="764">SUM(AH267:AM267)</f>
        <v>0</v>
      </c>
      <c r="BP267" s="126">
        <f t="shared" ref="BP267:BP272" si="765">SUM(AN267:AS267)</f>
        <v>16</v>
      </c>
      <c r="BQ267" s="126">
        <f>SUM(AT267:AY267)</f>
        <v>0</v>
      </c>
      <c r="BR267" s="126">
        <f t="shared" ref="BR267:BS272" si="766">SUM(AZ267:BE267)</f>
        <v>0</v>
      </c>
      <c r="BS267" s="127">
        <f t="shared" ref="BS267:BS272" si="767">SUM(BF267:BK267)</f>
        <v>0</v>
      </c>
      <c r="BT267" s="74"/>
      <c r="BU267" s="125">
        <f t="shared" ref="BU267:BU272" si="768">(BM267/$K267)*$O267</f>
        <v>0</v>
      </c>
      <c r="BV267" s="126">
        <f t="shared" ref="BV267:BV272" si="769">(BN267/$K267)*$O267</f>
        <v>0</v>
      </c>
      <c r="BW267" s="126">
        <f t="shared" ref="BW267:BW272" si="770">(BO267/$K267)*$O267</f>
        <v>0</v>
      </c>
      <c r="BX267" s="126">
        <f t="shared" ref="BX267:BX272" si="771">(BP267/$K267)*$O267</f>
        <v>3.2</v>
      </c>
      <c r="BY267" s="126">
        <f t="shared" ref="BY267:CA272" si="772">(BQ267/$K267)*$O267</f>
        <v>0</v>
      </c>
      <c r="BZ267" s="126">
        <f t="shared" si="772"/>
        <v>0</v>
      </c>
      <c r="CA267" s="126">
        <f t="shared" si="772"/>
        <v>0</v>
      </c>
    </row>
    <row r="268" spans="1:79">
      <c r="A268" s="147" t="str">
        <f t="shared" si="755"/>
        <v>D</v>
      </c>
      <c r="B268" s="148">
        <f t="shared" si="756"/>
        <v>70000</v>
      </c>
      <c r="C268" s="149" t="s">
        <v>218</v>
      </c>
      <c r="D268" s="150" t="s">
        <v>0</v>
      </c>
      <c r="E268" s="150" t="s">
        <v>0</v>
      </c>
      <c r="F268" s="145" t="s">
        <v>213</v>
      </c>
      <c r="G268" s="150" t="s">
        <v>201</v>
      </c>
      <c r="H268" s="150" t="s">
        <v>210</v>
      </c>
      <c r="I268" s="150" t="s">
        <v>211</v>
      </c>
      <c r="J268" s="151" t="s">
        <v>54</v>
      </c>
      <c r="K268" s="13">
        <v>1</v>
      </c>
      <c r="L268" s="12" t="s">
        <v>32</v>
      </c>
      <c r="M268" s="13">
        <v>0.8</v>
      </c>
      <c r="N268" s="13">
        <v>0.8</v>
      </c>
      <c r="O268" s="14">
        <v>1.6</v>
      </c>
      <c r="P268" s="113">
        <f t="shared" si="757"/>
        <v>1</v>
      </c>
      <c r="Q268" s="114">
        <f t="shared" si="758"/>
        <v>0</v>
      </c>
      <c r="R268" s="114">
        <f t="shared" si="759"/>
        <v>1.6</v>
      </c>
      <c r="S268" s="114">
        <f t="shared" si="760"/>
        <v>0</v>
      </c>
      <c r="T268" s="93">
        <f t="shared" si="761"/>
        <v>1</v>
      </c>
      <c r="U268" t="s">
        <v>0</v>
      </c>
      <c r="V268" s="79"/>
      <c r="W268" s="76"/>
      <c r="X268" s="76"/>
      <c r="Y268" s="76"/>
      <c r="Z268" s="76"/>
      <c r="AA268" s="80"/>
      <c r="AB268" s="79"/>
      <c r="AC268" s="76"/>
      <c r="AD268" s="76"/>
      <c r="AE268" s="76"/>
      <c r="AF268" s="76"/>
      <c r="AG268" s="80"/>
      <c r="AH268" s="79"/>
      <c r="AI268" s="76"/>
      <c r="AJ268" s="76"/>
      <c r="AK268" s="76"/>
      <c r="AL268" s="76"/>
      <c r="AM268" s="80"/>
      <c r="AN268" s="79">
        <v>1</v>
      </c>
      <c r="AO268" s="76"/>
      <c r="AP268" s="76"/>
      <c r="AQ268" s="76"/>
      <c r="AR268" s="76"/>
      <c r="AS268" s="80"/>
      <c r="AT268" s="79"/>
      <c r="AU268" s="76"/>
      <c r="AV268" s="76"/>
      <c r="AW268" s="76"/>
      <c r="AX268" s="76"/>
      <c r="AY268" s="80"/>
      <c r="AZ268" s="79"/>
      <c r="BA268" s="76"/>
      <c r="BB268" s="76"/>
      <c r="BC268" s="76"/>
      <c r="BD268" s="76"/>
      <c r="BE268" s="80"/>
      <c r="BF268" s="79"/>
      <c r="BG268" s="76"/>
      <c r="BH268" s="76"/>
      <c r="BI268" s="76"/>
      <c r="BJ268" s="76"/>
      <c r="BK268" s="80"/>
      <c r="BM268" s="125">
        <f t="shared" si="762"/>
        <v>0</v>
      </c>
      <c r="BN268" s="126">
        <f t="shared" si="763"/>
        <v>0</v>
      </c>
      <c r="BO268" s="126">
        <f t="shared" si="764"/>
        <v>0</v>
      </c>
      <c r="BP268" s="126">
        <f t="shared" si="765"/>
        <v>1</v>
      </c>
      <c r="BQ268" s="126">
        <f>SUM(AT268:AY268)</f>
        <v>0</v>
      </c>
      <c r="BR268" s="126">
        <f t="shared" si="766"/>
        <v>0</v>
      </c>
      <c r="BS268" s="127">
        <f t="shared" si="767"/>
        <v>0</v>
      </c>
      <c r="BT268" s="74"/>
      <c r="BU268" s="125">
        <f t="shared" si="768"/>
        <v>0</v>
      </c>
      <c r="BV268" s="126">
        <f t="shared" si="769"/>
        <v>0</v>
      </c>
      <c r="BW268" s="126">
        <f t="shared" si="770"/>
        <v>0</v>
      </c>
      <c r="BX268" s="126">
        <f t="shared" si="771"/>
        <v>1.6</v>
      </c>
      <c r="BY268" s="126">
        <f t="shared" si="772"/>
        <v>0</v>
      </c>
      <c r="BZ268" s="126">
        <f t="shared" si="772"/>
        <v>0</v>
      </c>
      <c r="CA268" s="126">
        <f t="shared" si="772"/>
        <v>0</v>
      </c>
    </row>
    <row r="269" spans="1:79">
      <c r="A269" s="147" t="str">
        <f t="shared" si="755"/>
        <v>D</v>
      </c>
      <c r="B269" s="148">
        <f t="shared" si="756"/>
        <v>70000</v>
      </c>
      <c r="C269" s="149" t="s">
        <v>218</v>
      </c>
      <c r="D269" s="150" t="s">
        <v>0</v>
      </c>
      <c r="E269" s="150" t="s">
        <v>0</v>
      </c>
      <c r="F269" s="145" t="s">
        <v>214</v>
      </c>
      <c r="G269" s="150" t="s">
        <v>201</v>
      </c>
      <c r="H269" s="150" t="s">
        <v>210</v>
      </c>
      <c r="I269" s="150" t="s">
        <v>211</v>
      </c>
      <c r="J269" s="151" t="s">
        <v>54</v>
      </c>
      <c r="K269" s="13">
        <v>3</v>
      </c>
      <c r="L269" s="12" t="s">
        <v>32</v>
      </c>
      <c r="M269" s="13">
        <v>3</v>
      </c>
      <c r="N269" s="13">
        <v>0</v>
      </c>
      <c r="O269" s="14">
        <v>3</v>
      </c>
      <c r="P269" s="113">
        <f t="shared" si="757"/>
        <v>3</v>
      </c>
      <c r="Q269" s="114">
        <f t="shared" si="758"/>
        <v>0</v>
      </c>
      <c r="R269" s="114">
        <f t="shared" si="759"/>
        <v>3</v>
      </c>
      <c r="S269" s="114">
        <f t="shared" si="760"/>
        <v>0</v>
      </c>
      <c r="T269" s="93">
        <f t="shared" si="761"/>
        <v>1</v>
      </c>
      <c r="U269" t="s">
        <v>0</v>
      </c>
      <c r="V269" s="79"/>
      <c r="W269" s="76"/>
      <c r="X269" s="76"/>
      <c r="Y269" s="76"/>
      <c r="Z269" s="76"/>
      <c r="AA269" s="80"/>
      <c r="AB269" s="79"/>
      <c r="AC269" s="76"/>
      <c r="AD269" s="76"/>
      <c r="AE269" s="76"/>
      <c r="AF269" s="76"/>
      <c r="AG269" s="80"/>
      <c r="AH269" s="79"/>
      <c r="AI269" s="76"/>
      <c r="AJ269" s="76"/>
      <c r="AK269" s="76"/>
      <c r="AL269" s="76"/>
      <c r="AM269" s="80"/>
      <c r="AN269" s="79">
        <v>3</v>
      </c>
      <c r="AO269" s="76"/>
      <c r="AP269" s="76"/>
      <c r="AQ269" s="76"/>
      <c r="AR269" s="76"/>
      <c r="AS269" s="80"/>
      <c r="AT269" s="79"/>
      <c r="AU269" s="76"/>
      <c r="AV269" s="76"/>
      <c r="AW269" s="76"/>
      <c r="AX269" s="76"/>
      <c r="AY269" s="80"/>
      <c r="AZ269" s="79"/>
      <c r="BA269" s="76"/>
      <c r="BB269" s="76"/>
      <c r="BC269" s="76"/>
      <c r="BD269" s="76"/>
      <c r="BE269" s="80"/>
      <c r="BF269" s="79"/>
      <c r="BG269" s="76"/>
      <c r="BH269" s="76"/>
      <c r="BI269" s="76"/>
      <c r="BJ269" s="76"/>
      <c r="BK269" s="80"/>
      <c r="BM269" s="125">
        <f t="shared" si="762"/>
        <v>0</v>
      </c>
      <c r="BN269" s="126">
        <f t="shared" si="763"/>
        <v>0</v>
      </c>
      <c r="BO269" s="126">
        <f t="shared" si="764"/>
        <v>0</v>
      </c>
      <c r="BP269" s="126">
        <f t="shared" si="765"/>
        <v>3</v>
      </c>
      <c r="BQ269" s="126">
        <f>SUM(AT269:AY269)</f>
        <v>0</v>
      </c>
      <c r="BR269" s="126">
        <f t="shared" si="766"/>
        <v>0</v>
      </c>
      <c r="BS269" s="127">
        <f t="shared" si="767"/>
        <v>0</v>
      </c>
      <c r="BT269" s="74"/>
      <c r="BU269" s="125">
        <f t="shared" si="768"/>
        <v>0</v>
      </c>
      <c r="BV269" s="126">
        <f t="shared" si="769"/>
        <v>0</v>
      </c>
      <c r="BW269" s="126">
        <f t="shared" si="770"/>
        <v>0</v>
      </c>
      <c r="BX269" s="126">
        <f t="shared" si="771"/>
        <v>3</v>
      </c>
      <c r="BY269" s="126">
        <f t="shared" si="772"/>
        <v>0</v>
      </c>
      <c r="BZ269" s="126">
        <f t="shared" si="772"/>
        <v>0</v>
      </c>
      <c r="CA269" s="126">
        <f t="shared" si="772"/>
        <v>0</v>
      </c>
    </row>
    <row r="270" spans="1:79">
      <c r="A270" s="147" t="str">
        <f t="shared" si="755"/>
        <v>D</v>
      </c>
      <c r="B270" s="148">
        <f t="shared" si="756"/>
        <v>70000</v>
      </c>
      <c r="C270" s="149" t="s">
        <v>218</v>
      </c>
      <c r="D270" s="150" t="s">
        <v>0</v>
      </c>
      <c r="E270" s="150" t="s">
        <v>0</v>
      </c>
      <c r="F270" s="145" t="s">
        <v>215</v>
      </c>
      <c r="G270" s="150" t="s">
        <v>201</v>
      </c>
      <c r="H270" s="150" t="s">
        <v>210</v>
      </c>
      <c r="I270" s="150" t="s">
        <v>211</v>
      </c>
      <c r="J270" s="151" t="s">
        <v>54</v>
      </c>
      <c r="K270" s="13">
        <v>2</v>
      </c>
      <c r="L270" s="12" t="s">
        <v>32</v>
      </c>
      <c r="M270" s="13">
        <v>1.5</v>
      </c>
      <c r="N270" s="13">
        <v>0</v>
      </c>
      <c r="O270" s="14">
        <v>1.5</v>
      </c>
      <c r="P270" s="113">
        <f t="shared" si="757"/>
        <v>2</v>
      </c>
      <c r="Q270" s="114">
        <f t="shared" si="758"/>
        <v>0</v>
      </c>
      <c r="R270" s="114">
        <f t="shared" si="759"/>
        <v>1.5</v>
      </c>
      <c r="S270" s="114">
        <f t="shared" si="760"/>
        <v>0</v>
      </c>
      <c r="T270" s="93">
        <f t="shared" si="761"/>
        <v>1</v>
      </c>
      <c r="U270" t="s">
        <v>0</v>
      </c>
      <c r="V270" s="79"/>
      <c r="W270" s="76"/>
      <c r="X270" s="76"/>
      <c r="Y270" s="76"/>
      <c r="Z270" s="76"/>
      <c r="AA270" s="80"/>
      <c r="AB270" s="79"/>
      <c r="AC270" s="76"/>
      <c r="AD270" s="76"/>
      <c r="AE270" s="76"/>
      <c r="AF270" s="76"/>
      <c r="AG270" s="80"/>
      <c r="AH270" s="79"/>
      <c r="AI270" s="76"/>
      <c r="AJ270" s="76"/>
      <c r="AK270" s="76"/>
      <c r="AL270" s="76"/>
      <c r="AM270" s="80"/>
      <c r="AN270" s="79">
        <v>2</v>
      </c>
      <c r="AO270" s="76"/>
      <c r="AP270" s="76"/>
      <c r="AQ270" s="76"/>
      <c r="AR270" s="76"/>
      <c r="AS270" s="80"/>
      <c r="AT270" s="79"/>
      <c r="AU270" s="76"/>
      <c r="AV270" s="76"/>
      <c r="AW270" s="76"/>
      <c r="AX270" s="76"/>
      <c r="AY270" s="80"/>
      <c r="AZ270" s="79"/>
      <c r="BA270" s="76"/>
      <c r="BB270" s="76"/>
      <c r="BC270" s="76"/>
      <c r="BD270" s="76"/>
      <c r="BE270" s="80"/>
      <c r="BF270" s="79"/>
      <c r="BG270" s="76"/>
      <c r="BH270" s="76"/>
      <c r="BI270" s="76"/>
      <c r="BJ270" s="76"/>
      <c r="BK270" s="80"/>
      <c r="BM270" s="125">
        <f t="shared" si="762"/>
        <v>0</v>
      </c>
      <c r="BN270" s="126">
        <f t="shared" si="763"/>
        <v>0</v>
      </c>
      <c r="BO270" s="126">
        <f t="shared" si="764"/>
        <v>0</v>
      </c>
      <c r="BP270" s="126">
        <f t="shared" si="765"/>
        <v>2</v>
      </c>
      <c r="BQ270" s="126">
        <f>SUM(AT270:AY270)</f>
        <v>0</v>
      </c>
      <c r="BR270" s="126">
        <f t="shared" si="766"/>
        <v>0</v>
      </c>
      <c r="BS270" s="127">
        <f t="shared" si="767"/>
        <v>0</v>
      </c>
      <c r="BT270" s="74"/>
      <c r="BU270" s="125">
        <f t="shared" si="768"/>
        <v>0</v>
      </c>
      <c r="BV270" s="126">
        <f t="shared" si="769"/>
        <v>0</v>
      </c>
      <c r="BW270" s="126">
        <f t="shared" si="770"/>
        <v>0</v>
      </c>
      <c r="BX270" s="126">
        <f t="shared" si="771"/>
        <v>1.5</v>
      </c>
      <c r="BY270" s="126">
        <f t="shared" si="772"/>
        <v>0</v>
      </c>
      <c r="BZ270" s="126">
        <f t="shared" si="772"/>
        <v>0</v>
      </c>
      <c r="CA270" s="126">
        <f t="shared" si="772"/>
        <v>0</v>
      </c>
    </row>
    <row r="271" spans="1:79">
      <c r="A271" s="147" t="str">
        <f t="shared" si="755"/>
        <v>D</v>
      </c>
      <c r="B271" s="148">
        <f t="shared" si="756"/>
        <v>70000</v>
      </c>
      <c r="C271" s="149" t="s">
        <v>218</v>
      </c>
      <c r="D271" s="150" t="s">
        <v>0</v>
      </c>
      <c r="E271" s="150" t="s">
        <v>0</v>
      </c>
      <c r="F271" s="145" t="s">
        <v>216</v>
      </c>
      <c r="G271" s="150" t="s">
        <v>201</v>
      </c>
      <c r="H271" s="150" t="s">
        <v>210</v>
      </c>
      <c r="I271" s="150" t="s">
        <v>211</v>
      </c>
      <c r="J271" s="151" t="s">
        <v>54</v>
      </c>
      <c r="K271" s="13">
        <v>1</v>
      </c>
      <c r="L271" s="12" t="s">
        <v>32</v>
      </c>
      <c r="M271" s="13">
        <v>0.2</v>
      </c>
      <c r="N271" s="13">
        <v>0</v>
      </c>
      <c r="O271" s="14">
        <v>0.2</v>
      </c>
      <c r="P271" s="113">
        <f t="shared" si="757"/>
        <v>1</v>
      </c>
      <c r="Q271" s="114">
        <f t="shared" si="758"/>
        <v>0</v>
      </c>
      <c r="R271" s="114">
        <f t="shared" si="759"/>
        <v>0.2</v>
      </c>
      <c r="S271" s="114">
        <f t="shared" si="760"/>
        <v>0</v>
      </c>
      <c r="T271" s="93">
        <f t="shared" si="761"/>
        <v>1</v>
      </c>
      <c r="U271" t="s">
        <v>0</v>
      </c>
      <c r="V271" s="79"/>
      <c r="W271" s="76"/>
      <c r="X271" s="76"/>
      <c r="Y271" s="76"/>
      <c r="Z271" s="76"/>
      <c r="AA271" s="80"/>
      <c r="AB271" s="79"/>
      <c r="AC271" s="76"/>
      <c r="AD271" s="76"/>
      <c r="AE271" s="76"/>
      <c r="AF271" s="76"/>
      <c r="AG271" s="80"/>
      <c r="AH271" s="79"/>
      <c r="AI271" s="76"/>
      <c r="AJ271" s="76"/>
      <c r="AK271" s="76"/>
      <c r="AL271" s="76"/>
      <c r="AM271" s="80"/>
      <c r="AN271" s="79">
        <v>1</v>
      </c>
      <c r="AO271" s="76"/>
      <c r="AP271" s="76"/>
      <c r="AQ271" s="76"/>
      <c r="AR271" s="76"/>
      <c r="AS271" s="80"/>
      <c r="AT271" s="79"/>
      <c r="AU271" s="76"/>
      <c r="AV271" s="76"/>
      <c r="AW271" s="76"/>
      <c r="AX271" s="76"/>
      <c r="AY271" s="80"/>
      <c r="AZ271" s="79"/>
      <c r="BA271" s="76"/>
      <c r="BB271" s="76"/>
      <c r="BC271" s="76"/>
      <c r="BD271" s="76"/>
      <c r="BE271" s="80"/>
      <c r="BF271" s="79"/>
      <c r="BG271" s="76"/>
      <c r="BH271" s="76"/>
      <c r="BI271" s="76"/>
      <c r="BJ271" s="76"/>
      <c r="BK271" s="80"/>
      <c r="BM271" s="125">
        <f t="shared" si="762"/>
        <v>0</v>
      </c>
      <c r="BN271" s="126">
        <f t="shared" si="763"/>
        <v>0</v>
      </c>
      <c r="BO271" s="126">
        <f t="shared" si="764"/>
        <v>0</v>
      </c>
      <c r="BP271" s="126">
        <f t="shared" si="765"/>
        <v>1</v>
      </c>
      <c r="BQ271" s="126">
        <f>SUM(AT271:AY271)</f>
        <v>0</v>
      </c>
      <c r="BR271" s="126">
        <f t="shared" si="766"/>
        <v>0</v>
      </c>
      <c r="BS271" s="127">
        <f t="shared" si="767"/>
        <v>0</v>
      </c>
      <c r="BT271" s="74"/>
      <c r="BU271" s="125">
        <f t="shared" si="768"/>
        <v>0</v>
      </c>
      <c r="BV271" s="126">
        <f t="shared" si="769"/>
        <v>0</v>
      </c>
      <c r="BW271" s="126">
        <f t="shared" si="770"/>
        <v>0</v>
      </c>
      <c r="BX271" s="126">
        <f t="shared" si="771"/>
        <v>0.2</v>
      </c>
      <c r="BY271" s="126">
        <f t="shared" si="772"/>
        <v>0</v>
      </c>
      <c r="BZ271" s="126">
        <f t="shared" si="772"/>
        <v>0</v>
      </c>
      <c r="CA271" s="126">
        <f t="shared" si="772"/>
        <v>0</v>
      </c>
    </row>
    <row r="272" spans="1:79">
      <c r="A272" s="147" t="str">
        <f t="shared" si="755"/>
        <v>D</v>
      </c>
      <c r="B272" s="148">
        <f t="shared" si="756"/>
        <v>70000</v>
      </c>
      <c r="C272" s="149" t="s">
        <v>218</v>
      </c>
      <c r="D272" s="150" t="s">
        <v>0</v>
      </c>
      <c r="E272" s="150" t="s">
        <v>0</v>
      </c>
      <c r="F272" s="145" t="s">
        <v>217</v>
      </c>
      <c r="G272" s="150" t="s">
        <v>201</v>
      </c>
      <c r="H272" s="150" t="s">
        <v>210</v>
      </c>
      <c r="I272" s="150" t="s">
        <v>211</v>
      </c>
      <c r="J272" s="151" t="s">
        <v>54</v>
      </c>
      <c r="K272" s="13">
        <v>1</v>
      </c>
      <c r="L272" s="12" t="s">
        <v>32</v>
      </c>
      <c r="M272" s="13">
        <v>3</v>
      </c>
      <c r="N272" s="13">
        <v>0</v>
      </c>
      <c r="O272" s="14">
        <v>3</v>
      </c>
      <c r="P272" s="113">
        <f t="shared" si="757"/>
        <v>1</v>
      </c>
      <c r="Q272" s="114">
        <f t="shared" si="758"/>
        <v>0</v>
      </c>
      <c r="R272" s="114">
        <f t="shared" si="759"/>
        <v>3</v>
      </c>
      <c r="S272" s="114">
        <f t="shared" si="760"/>
        <v>0</v>
      </c>
      <c r="T272" s="93">
        <f t="shared" si="761"/>
        <v>1</v>
      </c>
      <c r="U272" t="s">
        <v>0</v>
      </c>
      <c r="V272" s="79"/>
      <c r="W272" s="76"/>
      <c r="X272" s="76"/>
      <c r="Y272" s="76"/>
      <c r="Z272" s="76"/>
      <c r="AA272" s="80"/>
      <c r="AB272" s="79"/>
      <c r="AC272" s="76"/>
      <c r="AD272" s="76"/>
      <c r="AE272" s="76"/>
      <c r="AF272" s="76"/>
      <c r="AG272" s="80"/>
      <c r="AH272" s="79"/>
      <c r="AI272" s="76"/>
      <c r="AJ272" s="76"/>
      <c r="AK272" s="76"/>
      <c r="AL272" s="76"/>
      <c r="AM272" s="80"/>
      <c r="AN272" s="79"/>
      <c r="AO272" s="76"/>
      <c r="AP272" s="76"/>
      <c r="AQ272" s="76"/>
      <c r="AR272" s="76"/>
      <c r="AS272" s="80"/>
      <c r="AT272" s="79"/>
      <c r="AU272" s="76"/>
      <c r="AV272" s="76"/>
      <c r="AW272" s="76">
        <v>1</v>
      </c>
      <c r="AX272" s="76"/>
      <c r="AY272" s="80"/>
      <c r="AZ272" s="79"/>
      <c r="BA272" s="76"/>
      <c r="BB272" s="76"/>
      <c r="BC272" s="76"/>
      <c r="BD272" s="76"/>
      <c r="BE272" s="80"/>
      <c r="BF272" s="79"/>
      <c r="BG272" s="76"/>
      <c r="BH272" s="76"/>
      <c r="BI272" s="76"/>
      <c r="BJ272" s="76"/>
      <c r="BK272" s="80"/>
      <c r="BM272" s="125">
        <f t="shared" si="762"/>
        <v>0</v>
      </c>
      <c r="BN272" s="126">
        <f t="shared" si="763"/>
        <v>0</v>
      </c>
      <c r="BO272" s="126">
        <f t="shared" si="764"/>
        <v>0</v>
      </c>
      <c r="BP272" s="126">
        <f t="shared" si="765"/>
        <v>0</v>
      </c>
      <c r="BQ272" s="126">
        <f>SUM(AT272:AY272)</f>
        <v>1</v>
      </c>
      <c r="BR272" s="126">
        <f t="shared" si="766"/>
        <v>0</v>
      </c>
      <c r="BS272" s="127">
        <f t="shared" si="767"/>
        <v>0</v>
      </c>
      <c r="BT272" s="74"/>
      <c r="BU272" s="125">
        <f t="shared" si="768"/>
        <v>0</v>
      </c>
      <c r="BV272" s="126">
        <f t="shared" si="769"/>
        <v>0</v>
      </c>
      <c r="BW272" s="126">
        <f t="shared" si="770"/>
        <v>0</v>
      </c>
      <c r="BX272" s="126">
        <f t="shared" si="771"/>
        <v>0</v>
      </c>
      <c r="BY272" s="126">
        <f t="shared" si="772"/>
        <v>3</v>
      </c>
      <c r="BZ272" s="126">
        <f t="shared" si="772"/>
        <v>0</v>
      </c>
      <c r="CA272" s="126">
        <f t="shared" si="772"/>
        <v>0</v>
      </c>
    </row>
    <row r="273" spans="1:79" ht="15.75">
      <c r="A273" s="152" t="str">
        <f t="shared" si="755"/>
        <v>P</v>
      </c>
      <c r="B273" s="153">
        <f t="shared" si="756"/>
        <v>70000</v>
      </c>
      <c r="C273" s="154" t="s">
        <v>220</v>
      </c>
      <c r="D273" s="155" t="s">
        <v>0</v>
      </c>
      <c r="E273" s="155" t="s">
        <v>0</v>
      </c>
      <c r="F273" s="156" t="s">
        <v>221</v>
      </c>
      <c r="G273" s="155" t="s">
        <v>201</v>
      </c>
      <c r="H273" s="155" t="s">
        <v>210</v>
      </c>
      <c r="I273" s="155" t="s">
        <v>211</v>
      </c>
      <c r="J273" s="157" t="s">
        <v>0</v>
      </c>
      <c r="K273" s="9">
        <v>5</v>
      </c>
      <c r="L273" s="8" t="s">
        <v>56</v>
      </c>
      <c r="M273" s="9">
        <v>7.25</v>
      </c>
      <c r="N273" s="9">
        <v>0</v>
      </c>
      <c r="O273" s="10">
        <v>7.25</v>
      </c>
      <c r="P273" s="111"/>
      <c r="Q273" s="112"/>
      <c r="R273" s="112">
        <f>SUMIFS(R274:R$415,$C274:$C$415,$C273)</f>
        <v>7.25</v>
      </c>
      <c r="S273" s="112">
        <f>SUMIFS(S274:S$415,$C274:$C$415,$C273)</f>
        <v>0</v>
      </c>
      <c r="T273" s="92">
        <f>R273/O273</f>
        <v>1</v>
      </c>
      <c r="V273" s="77"/>
      <c r="W273" s="75"/>
      <c r="X273" s="75"/>
      <c r="Y273" s="75"/>
      <c r="Z273" s="75"/>
      <c r="AA273" s="78"/>
      <c r="AB273" s="77"/>
      <c r="AC273" s="75"/>
      <c r="AD273" s="75"/>
      <c r="AE273" s="75"/>
      <c r="AF273" s="75"/>
      <c r="AG273" s="78"/>
      <c r="AH273" s="77"/>
      <c r="AI273" s="75"/>
      <c r="AJ273" s="75"/>
      <c r="AK273" s="75"/>
      <c r="AL273" s="75"/>
      <c r="AM273" s="78"/>
      <c r="AN273" s="77"/>
      <c r="AO273" s="75"/>
      <c r="AP273" s="75"/>
      <c r="AQ273" s="75"/>
      <c r="AR273" s="75"/>
      <c r="AS273" s="78"/>
      <c r="AT273" s="77"/>
      <c r="AU273" s="75"/>
      <c r="AV273" s="75"/>
      <c r="AW273" s="75"/>
      <c r="AX273" s="75"/>
      <c r="AY273" s="78"/>
      <c r="AZ273" s="77"/>
      <c r="BA273" s="75"/>
      <c r="BB273" s="75"/>
      <c r="BC273" s="75"/>
      <c r="BD273" s="75"/>
      <c r="BE273" s="78"/>
      <c r="BF273" s="77"/>
      <c r="BG273" s="75"/>
      <c r="BH273" s="75"/>
      <c r="BI273" s="75"/>
      <c r="BJ273" s="75"/>
      <c r="BK273" s="78"/>
      <c r="BM273" s="122"/>
      <c r="BN273" s="123"/>
      <c r="BO273" s="123"/>
      <c r="BP273" s="123"/>
      <c r="BQ273" s="123"/>
      <c r="BR273" s="123"/>
      <c r="BS273" s="124"/>
      <c r="BT273" s="74"/>
      <c r="BU273" s="122"/>
      <c r="BV273" s="123"/>
      <c r="BW273" s="123"/>
      <c r="BX273" s="123"/>
      <c r="BY273" s="123"/>
      <c r="BZ273" s="123"/>
      <c r="CA273" s="123"/>
    </row>
    <row r="274" spans="1:79">
      <c r="A274" s="147" t="str">
        <f t="shared" si="755"/>
        <v>D</v>
      </c>
      <c r="B274" s="148">
        <f t="shared" si="756"/>
        <v>70000</v>
      </c>
      <c r="C274" s="149" t="s">
        <v>220</v>
      </c>
      <c r="D274" s="150" t="s">
        <v>0</v>
      </c>
      <c r="E274" s="150" t="s">
        <v>0</v>
      </c>
      <c r="F274" s="145" t="s">
        <v>222</v>
      </c>
      <c r="G274" s="150" t="s">
        <v>201</v>
      </c>
      <c r="H274" s="150" t="s">
        <v>210</v>
      </c>
      <c r="I274" s="150" t="s">
        <v>211</v>
      </c>
      <c r="J274" s="151" t="s">
        <v>0</v>
      </c>
      <c r="K274" s="13">
        <v>5</v>
      </c>
      <c r="L274" s="12" t="s">
        <v>56</v>
      </c>
      <c r="M274" s="13">
        <v>1</v>
      </c>
      <c r="N274" s="13">
        <v>0</v>
      </c>
      <c r="O274" s="14">
        <v>1</v>
      </c>
      <c r="P274" s="113">
        <f t="shared" ref="P274:P277" si="773">SUM(BM274:BS274)</f>
        <v>5</v>
      </c>
      <c r="Q274" s="114">
        <f t="shared" ref="Q274:Q277" si="774">K274-P274</f>
        <v>0</v>
      </c>
      <c r="R274" s="114">
        <f t="shared" ref="R274:R277" si="775">SUM(BU274:CA274)</f>
        <v>1</v>
      </c>
      <c r="S274" s="114">
        <f t="shared" ref="S274:S277" si="776">O274-R274</f>
        <v>0</v>
      </c>
      <c r="T274" s="93">
        <f t="shared" ref="T274:T277" si="777">R274/O274</f>
        <v>1</v>
      </c>
      <c r="U274" t="s">
        <v>0</v>
      </c>
      <c r="V274" s="79"/>
      <c r="W274" s="76"/>
      <c r="X274" s="76"/>
      <c r="Y274" s="76"/>
      <c r="Z274" s="76"/>
      <c r="AA274" s="80"/>
      <c r="AB274" s="79"/>
      <c r="AC274" s="76"/>
      <c r="AD274" s="76"/>
      <c r="AE274" s="76"/>
      <c r="AF274" s="76"/>
      <c r="AG274" s="80"/>
      <c r="AH274" s="79"/>
      <c r="AI274" s="76"/>
      <c r="AJ274" s="76"/>
      <c r="AK274" s="76"/>
      <c r="AL274" s="76"/>
      <c r="AM274" s="80"/>
      <c r="AN274" s="79">
        <v>5</v>
      </c>
      <c r="AO274" s="76"/>
      <c r="AP274" s="76"/>
      <c r="AQ274" s="76"/>
      <c r="AR274" s="76"/>
      <c r="AS274" s="80"/>
      <c r="AT274" s="79"/>
      <c r="AU274" s="76"/>
      <c r="AV274" s="76"/>
      <c r="AW274" s="76"/>
      <c r="AX274" s="76"/>
      <c r="AY274" s="80"/>
      <c r="AZ274" s="79"/>
      <c r="BA274" s="76"/>
      <c r="BB274" s="76"/>
      <c r="BC274" s="76"/>
      <c r="BD274" s="76"/>
      <c r="BE274" s="80"/>
      <c r="BF274" s="79"/>
      <c r="BG274" s="76"/>
      <c r="BH274" s="76"/>
      <c r="BI274" s="76"/>
      <c r="BJ274" s="76"/>
      <c r="BK274" s="80"/>
      <c r="BM274" s="125">
        <f t="shared" ref="BM274:BM277" si="778">SUM(V274:AA274)</f>
        <v>0</v>
      </c>
      <c r="BN274" s="126">
        <f t="shared" ref="BN274:BN277" si="779">SUM(AB274:AG274)</f>
        <v>0</v>
      </c>
      <c r="BO274" s="126">
        <f t="shared" ref="BO274:BO277" si="780">SUM(AH274:AM274)</f>
        <v>0</v>
      </c>
      <c r="BP274" s="126">
        <f t="shared" ref="BP274:BP277" si="781">SUM(AN274:AS274)</f>
        <v>5</v>
      </c>
      <c r="BQ274" s="126">
        <f>SUM(AT274:AY274)</f>
        <v>0</v>
      </c>
      <c r="BR274" s="126">
        <f t="shared" ref="BR274:BS277" si="782">SUM(AZ274:BE274)</f>
        <v>0</v>
      </c>
      <c r="BS274" s="127">
        <f t="shared" ref="BS274:BS277" si="783">SUM(BF274:BK274)</f>
        <v>0</v>
      </c>
      <c r="BT274" s="74"/>
      <c r="BU274" s="125">
        <f t="shared" ref="BU274:BU277" si="784">(BM274/$K274)*$O274</f>
        <v>0</v>
      </c>
      <c r="BV274" s="126">
        <f t="shared" ref="BV274:BV277" si="785">(BN274/$K274)*$O274</f>
        <v>0</v>
      </c>
      <c r="BW274" s="126">
        <f t="shared" ref="BW274:BW277" si="786">(BO274/$K274)*$O274</f>
        <v>0</v>
      </c>
      <c r="BX274" s="126">
        <f t="shared" ref="BX274:BX277" si="787">(BP274/$K274)*$O274</f>
        <v>1</v>
      </c>
      <c r="BY274" s="126">
        <f t="shared" ref="BY274:CA277" si="788">(BQ274/$K274)*$O274</f>
        <v>0</v>
      </c>
      <c r="BZ274" s="126">
        <f t="shared" si="788"/>
        <v>0</v>
      </c>
      <c r="CA274" s="126">
        <f t="shared" si="788"/>
        <v>0</v>
      </c>
    </row>
    <row r="275" spans="1:79">
      <c r="A275" s="147" t="str">
        <f t="shared" si="755"/>
        <v>D</v>
      </c>
      <c r="B275" s="148">
        <f t="shared" si="756"/>
        <v>70000</v>
      </c>
      <c r="C275" s="149" t="s">
        <v>220</v>
      </c>
      <c r="D275" s="150" t="s">
        <v>0</v>
      </c>
      <c r="E275" s="150" t="s">
        <v>0</v>
      </c>
      <c r="F275" s="145" t="s">
        <v>194</v>
      </c>
      <c r="G275" s="150" t="s">
        <v>201</v>
      </c>
      <c r="H275" s="150" t="s">
        <v>210</v>
      </c>
      <c r="I275" s="150" t="s">
        <v>211</v>
      </c>
      <c r="J275" s="151" t="s">
        <v>0</v>
      </c>
      <c r="K275" s="13">
        <v>1</v>
      </c>
      <c r="L275" s="12" t="s">
        <v>32</v>
      </c>
      <c r="M275" s="13">
        <v>1</v>
      </c>
      <c r="N275" s="13">
        <v>0</v>
      </c>
      <c r="O275" s="14">
        <v>1</v>
      </c>
      <c r="P275" s="113">
        <f t="shared" si="773"/>
        <v>1</v>
      </c>
      <c r="Q275" s="114">
        <f t="shared" si="774"/>
        <v>0</v>
      </c>
      <c r="R275" s="114">
        <f t="shared" si="775"/>
        <v>1</v>
      </c>
      <c r="S275" s="114">
        <f t="shared" si="776"/>
        <v>0</v>
      </c>
      <c r="T275" s="93">
        <f t="shared" si="777"/>
        <v>1</v>
      </c>
      <c r="U275" t="s">
        <v>0</v>
      </c>
      <c r="V275" s="79"/>
      <c r="W275" s="76"/>
      <c r="X275" s="76"/>
      <c r="Y275" s="76"/>
      <c r="Z275" s="76"/>
      <c r="AA275" s="80"/>
      <c r="AB275" s="79"/>
      <c r="AC275" s="76"/>
      <c r="AD275" s="76"/>
      <c r="AE275" s="76"/>
      <c r="AF275" s="76"/>
      <c r="AG275" s="80"/>
      <c r="AH275" s="79"/>
      <c r="AI275" s="76"/>
      <c r="AJ275" s="76"/>
      <c r="AK275" s="76"/>
      <c r="AL275" s="76"/>
      <c r="AM275" s="80"/>
      <c r="AN275" s="79">
        <v>1</v>
      </c>
      <c r="AO275" s="76"/>
      <c r="AP275" s="76"/>
      <c r="AQ275" s="76"/>
      <c r="AR275" s="76"/>
      <c r="AS275" s="80"/>
      <c r="AT275" s="79"/>
      <c r="AU275" s="76"/>
      <c r="AV275" s="76"/>
      <c r="AW275" s="76"/>
      <c r="AX275" s="76"/>
      <c r="AY275" s="80"/>
      <c r="AZ275" s="79"/>
      <c r="BA275" s="76"/>
      <c r="BB275" s="76"/>
      <c r="BC275" s="76"/>
      <c r="BD275" s="76"/>
      <c r="BE275" s="80"/>
      <c r="BF275" s="79"/>
      <c r="BG275" s="76"/>
      <c r="BH275" s="76"/>
      <c r="BI275" s="76"/>
      <c r="BJ275" s="76"/>
      <c r="BK275" s="80"/>
      <c r="BM275" s="125">
        <f t="shared" si="778"/>
        <v>0</v>
      </c>
      <c r="BN275" s="126">
        <f t="shared" si="779"/>
        <v>0</v>
      </c>
      <c r="BO275" s="126">
        <f t="shared" si="780"/>
        <v>0</v>
      </c>
      <c r="BP275" s="126">
        <f t="shared" si="781"/>
        <v>1</v>
      </c>
      <c r="BQ275" s="126">
        <f>SUM(AT275:AY275)</f>
        <v>0</v>
      </c>
      <c r="BR275" s="126">
        <f t="shared" si="782"/>
        <v>0</v>
      </c>
      <c r="BS275" s="127">
        <f t="shared" si="783"/>
        <v>0</v>
      </c>
      <c r="BT275" s="74"/>
      <c r="BU275" s="125">
        <f t="shared" si="784"/>
        <v>0</v>
      </c>
      <c r="BV275" s="126">
        <f t="shared" si="785"/>
        <v>0</v>
      </c>
      <c r="BW275" s="126">
        <f t="shared" si="786"/>
        <v>0</v>
      </c>
      <c r="BX275" s="126">
        <f t="shared" si="787"/>
        <v>1</v>
      </c>
      <c r="BY275" s="126">
        <f t="shared" si="788"/>
        <v>0</v>
      </c>
      <c r="BZ275" s="126">
        <f t="shared" si="788"/>
        <v>0</v>
      </c>
      <c r="CA275" s="126">
        <f t="shared" si="788"/>
        <v>0</v>
      </c>
    </row>
    <row r="276" spans="1:79">
      <c r="A276" s="147" t="str">
        <f t="shared" si="755"/>
        <v>D</v>
      </c>
      <c r="B276" s="148">
        <f t="shared" si="756"/>
        <v>70000</v>
      </c>
      <c r="C276" s="149" t="s">
        <v>220</v>
      </c>
      <c r="D276" s="150" t="s">
        <v>0</v>
      </c>
      <c r="E276" s="150" t="s">
        <v>0</v>
      </c>
      <c r="F276" s="145" t="s">
        <v>223</v>
      </c>
      <c r="G276" s="150" t="s">
        <v>201</v>
      </c>
      <c r="H276" s="150" t="s">
        <v>210</v>
      </c>
      <c r="I276" s="150" t="s">
        <v>211</v>
      </c>
      <c r="J276" s="151" t="s">
        <v>0</v>
      </c>
      <c r="K276" s="13">
        <v>3</v>
      </c>
      <c r="L276" s="12" t="s">
        <v>32</v>
      </c>
      <c r="M276" s="13">
        <v>2.25</v>
      </c>
      <c r="N276" s="13">
        <v>0</v>
      </c>
      <c r="O276" s="14">
        <v>2.25</v>
      </c>
      <c r="P276" s="113">
        <f t="shared" si="773"/>
        <v>3</v>
      </c>
      <c r="Q276" s="114">
        <f t="shared" si="774"/>
        <v>0</v>
      </c>
      <c r="R276" s="114">
        <f t="shared" si="775"/>
        <v>2.25</v>
      </c>
      <c r="S276" s="114">
        <f t="shared" si="776"/>
        <v>0</v>
      </c>
      <c r="T276" s="93">
        <f t="shared" si="777"/>
        <v>1</v>
      </c>
      <c r="U276" t="s">
        <v>0</v>
      </c>
      <c r="V276" s="79"/>
      <c r="W276" s="76"/>
      <c r="X276" s="76"/>
      <c r="Y276" s="76"/>
      <c r="Z276" s="76"/>
      <c r="AA276" s="80"/>
      <c r="AB276" s="79"/>
      <c r="AC276" s="76"/>
      <c r="AD276" s="76"/>
      <c r="AE276" s="76"/>
      <c r="AF276" s="76"/>
      <c r="AG276" s="80"/>
      <c r="AH276" s="79"/>
      <c r="AI276" s="76"/>
      <c r="AJ276" s="76"/>
      <c r="AK276" s="76"/>
      <c r="AL276" s="76"/>
      <c r="AM276" s="80"/>
      <c r="AN276" s="79">
        <v>3</v>
      </c>
      <c r="AO276" s="76"/>
      <c r="AP276" s="76"/>
      <c r="AQ276" s="76"/>
      <c r="AR276" s="76"/>
      <c r="AS276" s="80"/>
      <c r="AT276" s="79"/>
      <c r="AU276" s="76"/>
      <c r="AV276" s="76"/>
      <c r="AW276" s="76"/>
      <c r="AX276" s="76"/>
      <c r="AY276" s="80"/>
      <c r="AZ276" s="79"/>
      <c r="BA276" s="76"/>
      <c r="BB276" s="76"/>
      <c r="BC276" s="76"/>
      <c r="BD276" s="76"/>
      <c r="BE276" s="80"/>
      <c r="BF276" s="79"/>
      <c r="BG276" s="76"/>
      <c r="BH276" s="76"/>
      <c r="BI276" s="76"/>
      <c r="BJ276" s="76"/>
      <c r="BK276" s="80"/>
      <c r="BM276" s="125">
        <f t="shared" si="778"/>
        <v>0</v>
      </c>
      <c r="BN276" s="126">
        <f t="shared" si="779"/>
        <v>0</v>
      </c>
      <c r="BO276" s="126">
        <f t="shared" si="780"/>
        <v>0</v>
      </c>
      <c r="BP276" s="126">
        <f t="shared" si="781"/>
        <v>3</v>
      </c>
      <c r="BQ276" s="126">
        <f>SUM(AT276:AY276)</f>
        <v>0</v>
      </c>
      <c r="BR276" s="126">
        <f t="shared" si="782"/>
        <v>0</v>
      </c>
      <c r="BS276" s="127">
        <f t="shared" si="783"/>
        <v>0</v>
      </c>
      <c r="BT276" s="74"/>
      <c r="BU276" s="125">
        <f t="shared" si="784"/>
        <v>0</v>
      </c>
      <c r="BV276" s="126">
        <f t="shared" si="785"/>
        <v>0</v>
      </c>
      <c r="BW276" s="126">
        <f t="shared" si="786"/>
        <v>0</v>
      </c>
      <c r="BX276" s="126">
        <f t="shared" si="787"/>
        <v>2.25</v>
      </c>
      <c r="BY276" s="126">
        <f t="shared" si="788"/>
        <v>0</v>
      </c>
      <c r="BZ276" s="126">
        <f t="shared" si="788"/>
        <v>0</v>
      </c>
      <c r="CA276" s="126">
        <f t="shared" si="788"/>
        <v>0</v>
      </c>
    </row>
    <row r="277" spans="1:79">
      <c r="A277" s="147" t="str">
        <f t="shared" si="755"/>
        <v>D</v>
      </c>
      <c r="B277" s="148">
        <f t="shared" si="756"/>
        <v>70000</v>
      </c>
      <c r="C277" s="149" t="s">
        <v>220</v>
      </c>
      <c r="D277" s="150" t="s">
        <v>0</v>
      </c>
      <c r="E277" s="150" t="s">
        <v>0</v>
      </c>
      <c r="F277" s="145" t="s">
        <v>224</v>
      </c>
      <c r="G277" s="150" t="s">
        <v>201</v>
      </c>
      <c r="H277" s="150" t="s">
        <v>210</v>
      </c>
      <c r="I277" s="150" t="s">
        <v>211</v>
      </c>
      <c r="J277" s="151" t="s">
        <v>0</v>
      </c>
      <c r="K277" s="13">
        <v>1</v>
      </c>
      <c r="L277" s="12" t="s">
        <v>32</v>
      </c>
      <c r="M277" s="13">
        <v>3</v>
      </c>
      <c r="N277" s="13">
        <v>0</v>
      </c>
      <c r="O277" s="14">
        <v>3</v>
      </c>
      <c r="P277" s="113">
        <f t="shared" si="773"/>
        <v>1</v>
      </c>
      <c r="Q277" s="114">
        <f t="shared" si="774"/>
        <v>0</v>
      </c>
      <c r="R277" s="114">
        <f t="shared" si="775"/>
        <v>3</v>
      </c>
      <c r="S277" s="114">
        <f t="shared" si="776"/>
        <v>0</v>
      </c>
      <c r="T277" s="93">
        <f t="shared" si="777"/>
        <v>1</v>
      </c>
      <c r="U277" t="s">
        <v>0</v>
      </c>
      <c r="V277" s="79"/>
      <c r="W277" s="76"/>
      <c r="X277" s="76"/>
      <c r="Y277" s="76"/>
      <c r="Z277" s="76"/>
      <c r="AA277" s="80"/>
      <c r="AB277" s="79"/>
      <c r="AC277" s="76"/>
      <c r="AD277" s="76"/>
      <c r="AE277" s="76"/>
      <c r="AF277" s="76"/>
      <c r="AG277" s="80"/>
      <c r="AH277" s="79"/>
      <c r="AI277" s="76"/>
      <c r="AJ277" s="76"/>
      <c r="AK277" s="76"/>
      <c r="AL277" s="76"/>
      <c r="AM277" s="80"/>
      <c r="AN277" s="79"/>
      <c r="AO277" s="76"/>
      <c r="AP277" s="76"/>
      <c r="AQ277" s="76"/>
      <c r="AR277" s="76"/>
      <c r="AS277" s="80"/>
      <c r="AT277" s="79"/>
      <c r="AU277" s="76"/>
      <c r="AV277" s="76"/>
      <c r="AW277" s="76">
        <v>1</v>
      </c>
      <c r="AX277" s="76"/>
      <c r="AY277" s="80"/>
      <c r="AZ277" s="79"/>
      <c r="BA277" s="76"/>
      <c r="BB277" s="76"/>
      <c r="BC277" s="76"/>
      <c r="BD277" s="76"/>
      <c r="BE277" s="80"/>
      <c r="BF277" s="79"/>
      <c r="BG277" s="76"/>
      <c r="BH277" s="76"/>
      <c r="BI277" s="76"/>
      <c r="BJ277" s="76"/>
      <c r="BK277" s="80"/>
      <c r="BM277" s="125">
        <f t="shared" si="778"/>
        <v>0</v>
      </c>
      <c r="BN277" s="126">
        <f t="shared" si="779"/>
        <v>0</v>
      </c>
      <c r="BO277" s="126">
        <f t="shared" si="780"/>
        <v>0</v>
      </c>
      <c r="BP277" s="126">
        <f t="shared" si="781"/>
        <v>0</v>
      </c>
      <c r="BQ277" s="126">
        <f>SUM(AT277:AY277)</f>
        <v>1</v>
      </c>
      <c r="BR277" s="126">
        <f t="shared" si="782"/>
        <v>0</v>
      </c>
      <c r="BS277" s="127">
        <f t="shared" si="783"/>
        <v>0</v>
      </c>
      <c r="BT277" s="74"/>
      <c r="BU277" s="125">
        <f t="shared" si="784"/>
        <v>0</v>
      </c>
      <c r="BV277" s="126">
        <f t="shared" si="785"/>
        <v>0</v>
      </c>
      <c r="BW277" s="126">
        <f t="shared" si="786"/>
        <v>0</v>
      </c>
      <c r="BX277" s="126">
        <f t="shared" si="787"/>
        <v>0</v>
      </c>
      <c r="BY277" s="126">
        <f t="shared" si="788"/>
        <v>3</v>
      </c>
      <c r="BZ277" s="126">
        <f t="shared" si="788"/>
        <v>0</v>
      </c>
      <c r="CA277" s="126">
        <f t="shared" si="788"/>
        <v>0</v>
      </c>
    </row>
    <row r="278" spans="1:79" ht="15.75">
      <c r="A278" s="152" t="str">
        <f t="shared" si="755"/>
        <v>P</v>
      </c>
      <c r="B278" s="153">
        <f t="shared" si="756"/>
        <v>70000</v>
      </c>
      <c r="C278" s="154" t="s">
        <v>225</v>
      </c>
      <c r="D278" s="155" t="s">
        <v>0</v>
      </c>
      <c r="E278" s="155" t="s">
        <v>0</v>
      </c>
      <c r="F278" s="156" t="s">
        <v>226</v>
      </c>
      <c r="G278" s="155" t="s">
        <v>0</v>
      </c>
      <c r="H278" s="155" t="s">
        <v>0</v>
      </c>
      <c r="I278" s="155" t="s">
        <v>0</v>
      </c>
      <c r="J278" s="157" t="s">
        <v>0</v>
      </c>
      <c r="K278" s="9">
        <v>40</v>
      </c>
      <c r="L278" s="8" t="s">
        <v>56</v>
      </c>
      <c r="M278" s="9">
        <v>27.849999999999998</v>
      </c>
      <c r="N278" s="9">
        <v>0</v>
      </c>
      <c r="O278" s="10">
        <v>27.849999999999998</v>
      </c>
      <c r="P278" s="111"/>
      <c r="Q278" s="112"/>
      <c r="R278" s="112">
        <f>SUMIFS(R279:R$415,$C279:$C$415,$C278)</f>
        <v>27.65</v>
      </c>
      <c r="S278" s="112">
        <f>SUMIFS(S279:S$415,$C279:$C$415,$C278)</f>
        <v>0.19999999999999996</v>
      </c>
      <c r="T278" s="92">
        <f>R278/O278</f>
        <v>0.99281867145421909</v>
      </c>
      <c r="V278" s="77"/>
      <c r="W278" s="75"/>
      <c r="X278" s="75"/>
      <c r="Y278" s="75"/>
      <c r="Z278" s="75"/>
      <c r="AA278" s="78"/>
      <c r="AB278" s="77"/>
      <c r="AC278" s="75"/>
      <c r="AD278" s="75"/>
      <c r="AE278" s="75"/>
      <c r="AF278" s="75"/>
      <c r="AG278" s="78"/>
      <c r="AH278" s="77"/>
      <c r="AI278" s="75"/>
      <c r="AJ278" s="75"/>
      <c r="AK278" s="75"/>
      <c r="AL278" s="75"/>
      <c r="AM278" s="78"/>
      <c r="AN278" s="77"/>
      <c r="AO278" s="75"/>
      <c r="AP278" s="75"/>
      <c r="AQ278" s="75"/>
      <c r="AR278" s="75"/>
      <c r="AS278" s="78"/>
      <c r="AT278" s="77"/>
      <c r="AU278" s="75"/>
      <c r="AV278" s="75"/>
      <c r="AW278" s="75"/>
      <c r="AX278" s="75"/>
      <c r="AY278" s="78"/>
      <c r="AZ278" s="77"/>
      <c r="BA278" s="75"/>
      <c r="BB278" s="75"/>
      <c r="BC278" s="75"/>
      <c r="BD278" s="75"/>
      <c r="BE278" s="78"/>
      <c r="BF278" s="77"/>
      <c r="BG278" s="75"/>
      <c r="BH278" s="75"/>
      <c r="BI278" s="75"/>
      <c r="BJ278" s="75"/>
      <c r="BK278" s="78"/>
      <c r="BM278" s="122"/>
      <c r="BN278" s="123"/>
      <c r="BO278" s="123"/>
      <c r="BP278" s="123"/>
      <c r="BQ278" s="123"/>
      <c r="BR278" s="123"/>
      <c r="BS278" s="124"/>
      <c r="BT278" s="74"/>
      <c r="BU278" s="122"/>
      <c r="BV278" s="123"/>
      <c r="BW278" s="123"/>
      <c r="BX278" s="123"/>
      <c r="BY278" s="123"/>
      <c r="BZ278" s="123"/>
      <c r="CA278" s="123"/>
    </row>
    <row r="279" spans="1:79">
      <c r="A279" s="147" t="str">
        <f t="shared" si="755"/>
        <v>D</v>
      </c>
      <c r="B279" s="148">
        <f t="shared" si="756"/>
        <v>70000</v>
      </c>
      <c r="C279" s="149" t="s">
        <v>225</v>
      </c>
      <c r="D279" s="150" t="s">
        <v>0</v>
      </c>
      <c r="E279" s="150" t="s">
        <v>0</v>
      </c>
      <c r="F279" s="145" t="s">
        <v>227</v>
      </c>
      <c r="G279" s="150" t="s">
        <v>0</v>
      </c>
      <c r="H279" s="150" t="s">
        <v>0</v>
      </c>
      <c r="I279" s="150" t="s">
        <v>0</v>
      </c>
      <c r="J279" s="151" t="s">
        <v>0</v>
      </c>
      <c r="K279" s="13">
        <v>30</v>
      </c>
      <c r="L279" s="12" t="s">
        <v>56</v>
      </c>
      <c r="M279" s="13">
        <v>12.9</v>
      </c>
      <c r="N279" s="13">
        <v>0</v>
      </c>
      <c r="O279" s="14">
        <v>12.9</v>
      </c>
      <c r="P279" s="113">
        <f t="shared" ref="P279:P283" si="789">SUM(BM279:BS279)</f>
        <v>30</v>
      </c>
      <c r="Q279" s="114">
        <f t="shared" ref="Q279:Q283" si="790">K279-P279</f>
        <v>0</v>
      </c>
      <c r="R279" s="114">
        <f t="shared" ref="R279:R283" si="791">SUM(BU279:CA279)</f>
        <v>12.9</v>
      </c>
      <c r="S279" s="114">
        <f t="shared" ref="S279:S283" si="792">O279-R279</f>
        <v>0</v>
      </c>
      <c r="T279" s="93">
        <f t="shared" ref="T279:T283" si="793">R279/O279</f>
        <v>1</v>
      </c>
      <c r="U279" t="s">
        <v>0</v>
      </c>
      <c r="V279" s="79"/>
      <c r="W279" s="76"/>
      <c r="X279" s="76"/>
      <c r="Y279" s="76"/>
      <c r="Z279" s="76"/>
      <c r="AA279" s="80"/>
      <c r="AB279" s="79"/>
      <c r="AC279" s="76"/>
      <c r="AD279" s="76"/>
      <c r="AE279" s="76"/>
      <c r="AF279" s="76"/>
      <c r="AG279" s="80"/>
      <c r="AH279" s="79"/>
      <c r="AI279" s="76"/>
      <c r="AJ279" s="76">
        <v>30</v>
      </c>
      <c r="AK279" s="76"/>
      <c r="AL279" s="76"/>
      <c r="AM279" s="80"/>
      <c r="AN279" s="79"/>
      <c r="AO279" s="76"/>
      <c r="AP279" s="76"/>
      <c r="AQ279" s="76"/>
      <c r="AR279" s="76"/>
      <c r="AS279" s="80"/>
      <c r="AT279" s="79"/>
      <c r="AU279" s="76"/>
      <c r="AV279" s="76"/>
      <c r="AW279" s="76"/>
      <c r="AX279" s="76"/>
      <c r="AY279" s="80"/>
      <c r="AZ279" s="79"/>
      <c r="BA279" s="76"/>
      <c r="BB279" s="76"/>
      <c r="BC279" s="76"/>
      <c r="BD279" s="76"/>
      <c r="BE279" s="80"/>
      <c r="BF279" s="79"/>
      <c r="BG279" s="76"/>
      <c r="BH279" s="76"/>
      <c r="BI279" s="76"/>
      <c r="BJ279" s="76"/>
      <c r="BK279" s="80"/>
      <c r="BM279" s="125">
        <f t="shared" ref="BM279:BM283" si="794">SUM(V279:AA279)</f>
        <v>0</v>
      </c>
      <c r="BN279" s="126">
        <f t="shared" ref="BN279:BN283" si="795">SUM(AB279:AG279)</f>
        <v>0</v>
      </c>
      <c r="BO279" s="126">
        <f t="shared" ref="BO279:BO283" si="796">SUM(AH279:AM279)</f>
        <v>30</v>
      </c>
      <c r="BP279" s="126">
        <f t="shared" ref="BP279:BP283" si="797">SUM(AN279:AS279)</f>
        <v>0</v>
      </c>
      <c r="BQ279" s="126">
        <f>SUM(AT279:AY279)</f>
        <v>0</v>
      </c>
      <c r="BR279" s="126">
        <f t="shared" ref="BR279:BS283" si="798">SUM(AZ279:BE279)</f>
        <v>0</v>
      </c>
      <c r="BS279" s="127">
        <f t="shared" ref="BS279:BS283" si="799">SUM(BF279:BK279)</f>
        <v>0</v>
      </c>
      <c r="BT279" s="74"/>
      <c r="BU279" s="125">
        <f t="shared" ref="BU279:BU283" si="800">(BM279/$K279)*$O279</f>
        <v>0</v>
      </c>
      <c r="BV279" s="126">
        <f t="shared" ref="BV279:BV283" si="801">(BN279/$K279)*$O279</f>
        <v>0</v>
      </c>
      <c r="BW279" s="126">
        <f t="shared" ref="BW279:BW283" si="802">(BO279/$K279)*$O279</f>
        <v>12.9</v>
      </c>
      <c r="BX279" s="126">
        <f t="shared" ref="BX279:BX283" si="803">(BP279/$K279)*$O279</f>
        <v>0</v>
      </c>
      <c r="BY279" s="126">
        <f t="shared" ref="BY279:CA283" si="804">(BQ279/$K279)*$O279</f>
        <v>0</v>
      </c>
      <c r="BZ279" s="126">
        <f t="shared" si="804"/>
        <v>0</v>
      </c>
      <c r="CA279" s="126">
        <f t="shared" si="804"/>
        <v>0</v>
      </c>
    </row>
    <row r="280" spans="1:79">
      <c r="A280" s="147" t="str">
        <f t="shared" si="755"/>
        <v>D</v>
      </c>
      <c r="B280" s="148">
        <f t="shared" si="756"/>
        <v>70000</v>
      </c>
      <c r="C280" s="149" t="s">
        <v>225</v>
      </c>
      <c r="D280" s="150" t="s">
        <v>0</v>
      </c>
      <c r="E280" s="150" t="s">
        <v>0</v>
      </c>
      <c r="F280" s="145" t="s">
        <v>222</v>
      </c>
      <c r="G280" s="150" t="s">
        <v>0</v>
      </c>
      <c r="H280" s="150" t="s">
        <v>0</v>
      </c>
      <c r="I280" s="150" t="s">
        <v>0</v>
      </c>
      <c r="J280" s="151" t="s">
        <v>0</v>
      </c>
      <c r="K280" s="13">
        <v>10</v>
      </c>
      <c r="L280" s="12" t="s">
        <v>56</v>
      </c>
      <c r="M280" s="13">
        <v>2</v>
      </c>
      <c r="N280" s="13">
        <v>0</v>
      </c>
      <c r="O280" s="14">
        <v>2</v>
      </c>
      <c r="P280" s="113">
        <f t="shared" si="789"/>
        <v>10</v>
      </c>
      <c r="Q280" s="114">
        <f t="shared" si="790"/>
        <v>0</v>
      </c>
      <c r="R280" s="114">
        <f t="shared" si="791"/>
        <v>2</v>
      </c>
      <c r="S280" s="114">
        <f t="shared" si="792"/>
        <v>0</v>
      </c>
      <c r="T280" s="93">
        <f t="shared" si="793"/>
        <v>1</v>
      </c>
      <c r="U280" t="s">
        <v>0</v>
      </c>
      <c r="V280" s="79"/>
      <c r="W280" s="76"/>
      <c r="X280" s="76"/>
      <c r="Y280" s="76"/>
      <c r="Z280" s="76"/>
      <c r="AA280" s="80"/>
      <c r="AB280" s="79"/>
      <c r="AC280" s="76"/>
      <c r="AD280" s="76"/>
      <c r="AE280" s="76"/>
      <c r="AF280" s="76"/>
      <c r="AG280" s="80"/>
      <c r="AH280" s="79"/>
      <c r="AI280" s="76"/>
      <c r="AJ280" s="76">
        <v>10</v>
      </c>
      <c r="AK280" s="76"/>
      <c r="AL280" s="76"/>
      <c r="AM280" s="80"/>
      <c r="AN280" s="79"/>
      <c r="AO280" s="76"/>
      <c r="AP280" s="76"/>
      <c r="AQ280" s="76"/>
      <c r="AR280" s="76"/>
      <c r="AS280" s="80"/>
      <c r="AT280" s="79"/>
      <c r="AU280" s="76"/>
      <c r="AV280" s="76"/>
      <c r="AW280" s="76"/>
      <c r="AX280" s="76"/>
      <c r="AY280" s="80"/>
      <c r="AZ280" s="79"/>
      <c r="BA280" s="76"/>
      <c r="BB280" s="76"/>
      <c r="BC280" s="76"/>
      <c r="BD280" s="76"/>
      <c r="BE280" s="80"/>
      <c r="BF280" s="79"/>
      <c r="BG280" s="76"/>
      <c r="BH280" s="76"/>
      <c r="BI280" s="76"/>
      <c r="BJ280" s="76"/>
      <c r="BK280" s="80"/>
      <c r="BM280" s="125">
        <f t="shared" si="794"/>
        <v>0</v>
      </c>
      <c r="BN280" s="126">
        <f t="shared" si="795"/>
        <v>0</v>
      </c>
      <c r="BO280" s="126">
        <f t="shared" si="796"/>
        <v>10</v>
      </c>
      <c r="BP280" s="126">
        <f t="shared" si="797"/>
        <v>0</v>
      </c>
      <c r="BQ280" s="126">
        <f>SUM(AT280:AY280)</f>
        <v>0</v>
      </c>
      <c r="BR280" s="126">
        <f t="shared" si="798"/>
        <v>0</v>
      </c>
      <c r="BS280" s="127">
        <f t="shared" si="799"/>
        <v>0</v>
      </c>
      <c r="BT280" s="74"/>
      <c r="BU280" s="125">
        <f t="shared" si="800"/>
        <v>0</v>
      </c>
      <c r="BV280" s="126">
        <f t="shared" si="801"/>
        <v>0</v>
      </c>
      <c r="BW280" s="126">
        <f t="shared" si="802"/>
        <v>2</v>
      </c>
      <c r="BX280" s="126">
        <f t="shared" si="803"/>
        <v>0</v>
      </c>
      <c r="BY280" s="126">
        <f t="shared" si="804"/>
        <v>0</v>
      </c>
      <c r="BZ280" s="126">
        <f t="shared" si="804"/>
        <v>0</v>
      </c>
      <c r="CA280" s="126">
        <f t="shared" si="804"/>
        <v>0</v>
      </c>
    </row>
    <row r="281" spans="1:79">
      <c r="A281" s="147" t="str">
        <f t="shared" si="755"/>
        <v>D</v>
      </c>
      <c r="B281" s="148">
        <f t="shared" si="756"/>
        <v>70000</v>
      </c>
      <c r="C281" s="149" t="s">
        <v>225</v>
      </c>
      <c r="D281" s="150" t="s">
        <v>0</v>
      </c>
      <c r="E281" s="150" t="s">
        <v>0</v>
      </c>
      <c r="F281" s="145" t="s">
        <v>228</v>
      </c>
      <c r="G281" s="150" t="s">
        <v>0</v>
      </c>
      <c r="H281" s="150" t="s">
        <v>0</v>
      </c>
      <c r="I281" s="150" t="s">
        <v>0</v>
      </c>
      <c r="J281" s="151" t="s">
        <v>0</v>
      </c>
      <c r="K281" s="13">
        <v>4</v>
      </c>
      <c r="L281" s="12" t="s">
        <v>32</v>
      </c>
      <c r="M281" s="13">
        <v>11</v>
      </c>
      <c r="N281" s="13">
        <v>0</v>
      </c>
      <c r="O281" s="14">
        <v>11</v>
      </c>
      <c r="P281" s="113">
        <f t="shared" si="789"/>
        <v>4</v>
      </c>
      <c r="Q281" s="114">
        <f t="shared" si="790"/>
        <v>0</v>
      </c>
      <c r="R281" s="114">
        <f t="shared" si="791"/>
        <v>11</v>
      </c>
      <c r="S281" s="114">
        <f t="shared" si="792"/>
        <v>0</v>
      </c>
      <c r="T281" s="93">
        <f t="shared" si="793"/>
        <v>1</v>
      </c>
      <c r="U281" t="s">
        <v>0</v>
      </c>
      <c r="V281" s="79"/>
      <c r="W281" s="76"/>
      <c r="X281" s="76"/>
      <c r="Y281" s="76"/>
      <c r="Z281" s="76"/>
      <c r="AA281" s="80"/>
      <c r="AB281" s="79"/>
      <c r="AC281" s="76"/>
      <c r="AD281" s="76"/>
      <c r="AE281" s="76"/>
      <c r="AF281" s="76"/>
      <c r="AG281" s="80"/>
      <c r="AH281" s="79"/>
      <c r="AI281" s="76"/>
      <c r="AJ281" s="76">
        <v>4</v>
      </c>
      <c r="AK281" s="76"/>
      <c r="AL281" s="76"/>
      <c r="AM281" s="80"/>
      <c r="AN281" s="79"/>
      <c r="AO281" s="76"/>
      <c r="AP281" s="76"/>
      <c r="AQ281" s="76"/>
      <c r="AR281" s="76"/>
      <c r="AS281" s="80"/>
      <c r="AT281" s="79"/>
      <c r="AU281" s="76"/>
      <c r="AV281" s="76"/>
      <c r="AW281" s="76"/>
      <c r="AX281" s="76"/>
      <c r="AY281" s="80"/>
      <c r="AZ281" s="79"/>
      <c r="BA281" s="76"/>
      <c r="BB281" s="76"/>
      <c r="BC281" s="76"/>
      <c r="BD281" s="76"/>
      <c r="BE281" s="80"/>
      <c r="BF281" s="79"/>
      <c r="BG281" s="76"/>
      <c r="BH281" s="76"/>
      <c r="BI281" s="76"/>
      <c r="BJ281" s="76"/>
      <c r="BK281" s="80"/>
      <c r="BM281" s="125">
        <f t="shared" si="794"/>
        <v>0</v>
      </c>
      <c r="BN281" s="126">
        <f t="shared" si="795"/>
        <v>0</v>
      </c>
      <c r="BO281" s="126">
        <f t="shared" si="796"/>
        <v>4</v>
      </c>
      <c r="BP281" s="126">
        <f t="shared" si="797"/>
        <v>0</v>
      </c>
      <c r="BQ281" s="126">
        <f>SUM(AT281:AY281)</f>
        <v>0</v>
      </c>
      <c r="BR281" s="126">
        <f t="shared" si="798"/>
        <v>0</v>
      </c>
      <c r="BS281" s="127">
        <f t="shared" si="799"/>
        <v>0</v>
      </c>
      <c r="BT281" s="74"/>
      <c r="BU281" s="125">
        <f t="shared" si="800"/>
        <v>0</v>
      </c>
      <c r="BV281" s="126">
        <f t="shared" si="801"/>
        <v>0</v>
      </c>
      <c r="BW281" s="126">
        <f t="shared" si="802"/>
        <v>11</v>
      </c>
      <c r="BX281" s="126">
        <f t="shared" si="803"/>
        <v>0</v>
      </c>
      <c r="BY281" s="126">
        <f t="shared" si="804"/>
        <v>0</v>
      </c>
      <c r="BZ281" s="126">
        <f t="shared" si="804"/>
        <v>0</v>
      </c>
      <c r="CA281" s="126">
        <f t="shared" si="804"/>
        <v>0</v>
      </c>
    </row>
    <row r="282" spans="1:79">
      <c r="A282" s="147" t="str">
        <f t="shared" si="755"/>
        <v>D</v>
      </c>
      <c r="B282" s="148">
        <f t="shared" si="756"/>
        <v>70000</v>
      </c>
      <c r="C282" s="149" t="s">
        <v>225</v>
      </c>
      <c r="D282" s="150" t="s">
        <v>0</v>
      </c>
      <c r="E282" s="150" t="s">
        <v>0</v>
      </c>
      <c r="F282" s="145" t="s">
        <v>223</v>
      </c>
      <c r="G282" s="150" t="s">
        <v>0</v>
      </c>
      <c r="H282" s="150" t="s">
        <v>0</v>
      </c>
      <c r="I282" s="150" t="s">
        <v>0</v>
      </c>
      <c r="J282" s="151" t="s">
        <v>0</v>
      </c>
      <c r="K282" s="13">
        <v>1</v>
      </c>
      <c r="L282" s="12" t="s">
        <v>32</v>
      </c>
      <c r="M282" s="13">
        <v>0.75</v>
      </c>
      <c r="N282" s="13">
        <v>0</v>
      </c>
      <c r="O282" s="14">
        <v>0.75</v>
      </c>
      <c r="P282" s="113">
        <f t="shared" si="789"/>
        <v>1</v>
      </c>
      <c r="Q282" s="114">
        <f t="shared" si="790"/>
        <v>0</v>
      </c>
      <c r="R282" s="114">
        <f t="shared" si="791"/>
        <v>0.75</v>
      </c>
      <c r="S282" s="114">
        <f t="shared" si="792"/>
        <v>0</v>
      </c>
      <c r="T282" s="93">
        <f t="shared" si="793"/>
        <v>1</v>
      </c>
      <c r="U282" t="s">
        <v>0</v>
      </c>
      <c r="V282" s="79"/>
      <c r="W282" s="76"/>
      <c r="X282" s="76"/>
      <c r="Y282" s="76"/>
      <c r="Z282" s="76"/>
      <c r="AA282" s="80"/>
      <c r="AB282" s="79"/>
      <c r="AC282" s="76"/>
      <c r="AD282" s="76"/>
      <c r="AE282" s="76"/>
      <c r="AF282" s="76"/>
      <c r="AG282" s="80"/>
      <c r="AH282" s="79"/>
      <c r="AI282" s="76"/>
      <c r="AJ282" s="76">
        <v>1</v>
      </c>
      <c r="AK282" s="76"/>
      <c r="AL282" s="76"/>
      <c r="AM282" s="80"/>
      <c r="AN282" s="79"/>
      <c r="AO282" s="76"/>
      <c r="AP282" s="76"/>
      <c r="AQ282" s="76"/>
      <c r="AR282" s="76"/>
      <c r="AS282" s="80"/>
      <c r="AT282" s="79"/>
      <c r="AU282" s="76"/>
      <c r="AV282" s="76"/>
      <c r="AW282" s="76"/>
      <c r="AX282" s="76"/>
      <c r="AY282" s="80"/>
      <c r="AZ282" s="79"/>
      <c r="BA282" s="76"/>
      <c r="BB282" s="76"/>
      <c r="BC282" s="76"/>
      <c r="BD282" s="76"/>
      <c r="BE282" s="80"/>
      <c r="BF282" s="79"/>
      <c r="BG282" s="76"/>
      <c r="BH282" s="76"/>
      <c r="BI282" s="76"/>
      <c r="BJ282" s="76"/>
      <c r="BK282" s="80"/>
      <c r="BM282" s="125">
        <f t="shared" si="794"/>
        <v>0</v>
      </c>
      <c r="BN282" s="126">
        <f t="shared" si="795"/>
        <v>0</v>
      </c>
      <c r="BO282" s="126">
        <f t="shared" si="796"/>
        <v>1</v>
      </c>
      <c r="BP282" s="126">
        <f t="shared" si="797"/>
        <v>0</v>
      </c>
      <c r="BQ282" s="126">
        <f>SUM(AT282:AY282)</f>
        <v>0</v>
      </c>
      <c r="BR282" s="126">
        <f t="shared" si="798"/>
        <v>0</v>
      </c>
      <c r="BS282" s="127">
        <f t="shared" si="799"/>
        <v>0</v>
      </c>
      <c r="BT282" s="74"/>
      <c r="BU282" s="125">
        <f t="shared" si="800"/>
        <v>0</v>
      </c>
      <c r="BV282" s="126">
        <f t="shared" si="801"/>
        <v>0</v>
      </c>
      <c r="BW282" s="126">
        <f t="shared" si="802"/>
        <v>0.75</v>
      </c>
      <c r="BX282" s="126">
        <f t="shared" si="803"/>
        <v>0</v>
      </c>
      <c r="BY282" s="126">
        <f t="shared" si="804"/>
        <v>0</v>
      </c>
      <c r="BZ282" s="126">
        <f t="shared" si="804"/>
        <v>0</v>
      </c>
      <c r="CA282" s="126">
        <f t="shared" si="804"/>
        <v>0</v>
      </c>
    </row>
    <row r="283" spans="1:79">
      <c r="A283" s="147" t="str">
        <f t="shared" si="755"/>
        <v>D</v>
      </c>
      <c r="B283" s="148">
        <f t="shared" si="756"/>
        <v>70000</v>
      </c>
      <c r="C283" s="149" t="s">
        <v>225</v>
      </c>
      <c r="D283" s="150" t="s">
        <v>0</v>
      </c>
      <c r="E283" s="150" t="s">
        <v>0</v>
      </c>
      <c r="F283" s="145" t="s">
        <v>171</v>
      </c>
      <c r="G283" s="150" t="s">
        <v>0</v>
      </c>
      <c r="H283" s="150" t="s">
        <v>0</v>
      </c>
      <c r="I283" s="150" t="s">
        <v>0</v>
      </c>
      <c r="J283" s="151" t="s">
        <v>0</v>
      </c>
      <c r="K283" s="13">
        <v>6</v>
      </c>
      <c r="L283" s="12" t="s">
        <v>32</v>
      </c>
      <c r="M283" s="13">
        <v>1.2</v>
      </c>
      <c r="N283" s="13">
        <v>0</v>
      </c>
      <c r="O283" s="14">
        <v>1.2</v>
      </c>
      <c r="P283" s="113">
        <f t="shared" si="789"/>
        <v>5</v>
      </c>
      <c r="Q283" s="114">
        <f t="shared" si="790"/>
        <v>1</v>
      </c>
      <c r="R283" s="114">
        <f t="shared" si="791"/>
        <v>1</v>
      </c>
      <c r="S283" s="114">
        <f t="shared" si="792"/>
        <v>0.19999999999999996</v>
      </c>
      <c r="T283" s="93">
        <f t="shared" si="793"/>
        <v>0.83333333333333337</v>
      </c>
      <c r="U283" t="s">
        <v>0</v>
      </c>
      <c r="V283" s="79"/>
      <c r="W283" s="76"/>
      <c r="X283" s="76"/>
      <c r="Y283" s="76"/>
      <c r="Z283" s="76"/>
      <c r="AA283" s="80"/>
      <c r="AB283" s="79"/>
      <c r="AC283" s="76"/>
      <c r="AD283" s="76"/>
      <c r="AE283" s="76"/>
      <c r="AF283" s="76"/>
      <c r="AG283" s="80"/>
      <c r="AH283" s="79"/>
      <c r="AI283" s="76"/>
      <c r="AJ283" s="76">
        <v>5</v>
      </c>
      <c r="AK283" s="76"/>
      <c r="AL283" s="76"/>
      <c r="AM283" s="80"/>
      <c r="AN283" s="79"/>
      <c r="AO283" s="76"/>
      <c r="AP283" s="76"/>
      <c r="AQ283" s="76"/>
      <c r="AR283" s="76"/>
      <c r="AS283" s="80"/>
      <c r="AT283" s="79"/>
      <c r="AU283" s="76"/>
      <c r="AV283" s="76"/>
      <c r="AW283" s="76"/>
      <c r="AX283" s="76"/>
      <c r="AY283" s="80"/>
      <c r="AZ283" s="79"/>
      <c r="BA283" s="76"/>
      <c r="BB283" s="76"/>
      <c r="BC283" s="76"/>
      <c r="BD283" s="76"/>
      <c r="BE283" s="80"/>
      <c r="BF283" s="79"/>
      <c r="BG283" s="76"/>
      <c r="BH283" s="76"/>
      <c r="BI283" s="76"/>
      <c r="BJ283" s="76"/>
      <c r="BK283" s="80"/>
      <c r="BM283" s="125">
        <f t="shared" si="794"/>
        <v>0</v>
      </c>
      <c r="BN283" s="126">
        <f t="shared" si="795"/>
        <v>0</v>
      </c>
      <c r="BO283" s="126">
        <f t="shared" si="796"/>
        <v>5</v>
      </c>
      <c r="BP283" s="126">
        <f t="shared" si="797"/>
        <v>0</v>
      </c>
      <c r="BQ283" s="126">
        <f>SUM(AT283:AY283)</f>
        <v>0</v>
      </c>
      <c r="BR283" s="126">
        <f t="shared" si="798"/>
        <v>0</v>
      </c>
      <c r="BS283" s="127">
        <f t="shared" si="799"/>
        <v>0</v>
      </c>
      <c r="BT283" s="74"/>
      <c r="BU283" s="125">
        <f t="shared" si="800"/>
        <v>0</v>
      </c>
      <c r="BV283" s="126">
        <f t="shared" si="801"/>
        <v>0</v>
      </c>
      <c r="BW283" s="126">
        <f t="shared" si="802"/>
        <v>1</v>
      </c>
      <c r="BX283" s="126">
        <f t="shared" si="803"/>
        <v>0</v>
      </c>
      <c r="BY283" s="126">
        <f t="shared" si="804"/>
        <v>0</v>
      </c>
      <c r="BZ283" s="126">
        <f t="shared" si="804"/>
        <v>0</v>
      </c>
      <c r="CA283" s="126">
        <f t="shared" si="804"/>
        <v>0</v>
      </c>
    </row>
    <row r="284" spans="1:79" ht="15.75">
      <c r="A284" s="152" t="str">
        <f t="shared" si="755"/>
        <v>P</v>
      </c>
      <c r="B284" s="153">
        <f t="shared" si="756"/>
        <v>70000</v>
      </c>
      <c r="C284" s="154" t="s">
        <v>229</v>
      </c>
      <c r="D284" s="155" t="s">
        <v>0</v>
      </c>
      <c r="E284" s="155" t="s">
        <v>0</v>
      </c>
      <c r="F284" s="156" t="s">
        <v>230</v>
      </c>
      <c r="G284" s="155" t="s">
        <v>0</v>
      </c>
      <c r="H284" s="155" t="s">
        <v>0</v>
      </c>
      <c r="I284" s="155" t="s">
        <v>0</v>
      </c>
      <c r="J284" s="157" t="s">
        <v>0</v>
      </c>
      <c r="K284" s="9">
        <v>40</v>
      </c>
      <c r="L284" s="8" t="s">
        <v>56</v>
      </c>
      <c r="M284" s="9">
        <v>27.849999999999998</v>
      </c>
      <c r="N284" s="9">
        <v>0</v>
      </c>
      <c r="O284" s="10">
        <v>27.849999999999998</v>
      </c>
      <c r="P284" s="111"/>
      <c r="Q284" s="112"/>
      <c r="R284" s="112">
        <f>SUMIFS(R285:R$415,$C285:$C$415,$C284)</f>
        <v>27.849999999999998</v>
      </c>
      <c r="S284" s="112">
        <f>SUMIFS(S285:S$415,$C285:$C$415,$C284)</f>
        <v>0</v>
      </c>
      <c r="T284" s="92">
        <f>R284/O284</f>
        <v>1</v>
      </c>
      <c r="V284" s="77"/>
      <c r="W284" s="75"/>
      <c r="X284" s="75"/>
      <c r="Y284" s="75"/>
      <c r="Z284" s="75"/>
      <c r="AA284" s="78"/>
      <c r="AB284" s="77"/>
      <c r="AC284" s="75"/>
      <c r="AD284" s="75"/>
      <c r="AE284" s="75"/>
      <c r="AF284" s="75"/>
      <c r="AG284" s="78"/>
      <c r="AH284" s="77"/>
      <c r="AI284" s="75"/>
      <c r="AJ284" s="75"/>
      <c r="AK284" s="75"/>
      <c r="AL284" s="75"/>
      <c r="AM284" s="78"/>
      <c r="AN284" s="77"/>
      <c r="AO284" s="75"/>
      <c r="AP284" s="75"/>
      <c r="AQ284" s="75"/>
      <c r="AR284" s="75"/>
      <c r="AS284" s="78"/>
      <c r="AT284" s="77"/>
      <c r="AU284" s="75"/>
      <c r="AV284" s="75"/>
      <c r="AW284" s="75"/>
      <c r="AX284" s="75"/>
      <c r="AY284" s="78"/>
      <c r="AZ284" s="77"/>
      <c r="BA284" s="75"/>
      <c r="BB284" s="75"/>
      <c r="BC284" s="75"/>
      <c r="BD284" s="75"/>
      <c r="BE284" s="78"/>
      <c r="BF284" s="77"/>
      <c r="BG284" s="75"/>
      <c r="BH284" s="75"/>
      <c r="BI284" s="75"/>
      <c r="BJ284" s="75"/>
      <c r="BK284" s="78"/>
      <c r="BM284" s="122"/>
      <c r="BN284" s="123"/>
      <c r="BO284" s="123"/>
      <c r="BP284" s="123"/>
      <c r="BQ284" s="123"/>
      <c r="BR284" s="123"/>
      <c r="BS284" s="124"/>
      <c r="BT284" s="74"/>
      <c r="BU284" s="122"/>
      <c r="BV284" s="123"/>
      <c r="BW284" s="123"/>
      <c r="BX284" s="123"/>
      <c r="BY284" s="123"/>
      <c r="BZ284" s="123"/>
      <c r="CA284" s="123"/>
    </row>
    <row r="285" spans="1:79">
      <c r="A285" s="147" t="str">
        <f t="shared" si="755"/>
        <v>D</v>
      </c>
      <c r="B285" s="148">
        <f t="shared" si="756"/>
        <v>70000</v>
      </c>
      <c r="C285" s="149" t="s">
        <v>229</v>
      </c>
      <c r="D285" s="150" t="s">
        <v>0</v>
      </c>
      <c r="E285" s="150" t="s">
        <v>0</v>
      </c>
      <c r="F285" s="145" t="s">
        <v>227</v>
      </c>
      <c r="G285" s="150" t="s">
        <v>0</v>
      </c>
      <c r="H285" s="150" t="s">
        <v>0</v>
      </c>
      <c r="I285" s="150" t="s">
        <v>0</v>
      </c>
      <c r="J285" s="151" t="s">
        <v>0</v>
      </c>
      <c r="K285" s="13">
        <v>30</v>
      </c>
      <c r="L285" s="12" t="s">
        <v>56</v>
      </c>
      <c r="M285" s="13">
        <v>12.9</v>
      </c>
      <c r="N285" s="13">
        <v>0</v>
      </c>
      <c r="O285" s="14">
        <v>12.9</v>
      </c>
      <c r="P285" s="113">
        <f t="shared" ref="P285:P289" si="805">SUM(BM285:BS285)</f>
        <v>30</v>
      </c>
      <c r="Q285" s="114">
        <f t="shared" ref="Q285:Q289" si="806">K285-P285</f>
        <v>0</v>
      </c>
      <c r="R285" s="114">
        <f t="shared" ref="R285:R289" si="807">SUM(BU285:CA285)</f>
        <v>12.9</v>
      </c>
      <c r="S285" s="114">
        <f t="shared" ref="S285:S289" si="808">O285-R285</f>
        <v>0</v>
      </c>
      <c r="T285" s="93">
        <f t="shared" ref="T285:T289" si="809">R285/O285</f>
        <v>1</v>
      </c>
      <c r="U285" t="s">
        <v>0</v>
      </c>
      <c r="V285" s="79"/>
      <c r="W285" s="76"/>
      <c r="X285" s="76"/>
      <c r="Y285" s="76"/>
      <c r="Z285" s="76"/>
      <c r="AA285" s="80"/>
      <c r="AB285" s="79"/>
      <c r="AC285" s="76"/>
      <c r="AD285" s="76"/>
      <c r="AE285" s="76"/>
      <c r="AF285" s="76"/>
      <c r="AG285" s="80"/>
      <c r="AH285" s="79"/>
      <c r="AI285" s="76"/>
      <c r="AJ285" s="76">
        <v>30</v>
      </c>
      <c r="AK285" s="76"/>
      <c r="AL285" s="76"/>
      <c r="AM285" s="80"/>
      <c r="AN285" s="79"/>
      <c r="AO285" s="76"/>
      <c r="AP285" s="76"/>
      <c r="AQ285" s="76"/>
      <c r="AR285" s="76"/>
      <c r="AS285" s="80"/>
      <c r="AT285" s="79"/>
      <c r="AU285" s="76"/>
      <c r="AV285" s="76"/>
      <c r="AW285" s="76"/>
      <c r="AX285" s="76"/>
      <c r="AY285" s="80"/>
      <c r="AZ285" s="79"/>
      <c r="BA285" s="76"/>
      <c r="BB285" s="76"/>
      <c r="BC285" s="76"/>
      <c r="BD285" s="76"/>
      <c r="BE285" s="80"/>
      <c r="BF285" s="79"/>
      <c r="BG285" s="76"/>
      <c r="BH285" s="76"/>
      <c r="BI285" s="76"/>
      <c r="BJ285" s="76"/>
      <c r="BK285" s="80"/>
      <c r="BM285" s="125">
        <f t="shared" ref="BM285:BM289" si="810">SUM(V285:AA285)</f>
        <v>0</v>
      </c>
      <c r="BN285" s="126">
        <f t="shared" ref="BN285:BN289" si="811">SUM(AB285:AG285)</f>
        <v>0</v>
      </c>
      <c r="BO285" s="126">
        <f t="shared" ref="BO285:BO289" si="812">SUM(AH285:AM285)</f>
        <v>30</v>
      </c>
      <c r="BP285" s="126">
        <f t="shared" ref="BP285:BP289" si="813">SUM(AN285:AS285)</f>
        <v>0</v>
      </c>
      <c r="BQ285" s="126">
        <f>SUM(AT285:AY285)</f>
        <v>0</v>
      </c>
      <c r="BR285" s="126">
        <f t="shared" ref="BR285:BS289" si="814">SUM(AZ285:BE285)</f>
        <v>0</v>
      </c>
      <c r="BS285" s="127">
        <f t="shared" ref="BS285:BS289" si="815">SUM(BF285:BK285)</f>
        <v>0</v>
      </c>
      <c r="BT285" s="74"/>
      <c r="BU285" s="125">
        <f t="shared" ref="BU285:BU289" si="816">(BM285/$K285)*$O285</f>
        <v>0</v>
      </c>
      <c r="BV285" s="126">
        <f t="shared" ref="BV285:BV289" si="817">(BN285/$K285)*$O285</f>
        <v>0</v>
      </c>
      <c r="BW285" s="126">
        <f t="shared" ref="BW285:BW289" si="818">(BO285/$K285)*$O285</f>
        <v>12.9</v>
      </c>
      <c r="BX285" s="126">
        <f t="shared" ref="BX285:BX289" si="819">(BP285/$K285)*$O285</f>
        <v>0</v>
      </c>
      <c r="BY285" s="126">
        <f t="shared" ref="BY285:CA289" si="820">(BQ285/$K285)*$O285</f>
        <v>0</v>
      </c>
      <c r="BZ285" s="126">
        <f t="shared" si="820"/>
        <v>0</v>
      </c>
      <c r="CA285" s="126">
        <f t="shared" si="820"/>
        <v>0</v>
      </c>
    </row>
    <row r="286" spans="1:79">
      <c r="A286" s="147" t="str">
        <f t="shared" si="755"/>
        <v>D</v>
      </c>
      <c r="B286" s="148">
        <f t="shared" si="756"/>
        <v>70000</v>
      </c>
      <c r="C286" s="149" t="s">
        <v>229</v>
      </c>
      <c r="D286" s="150" t="s">
        <v>0</v>
      </c>
      <c r="E286" s="150" t="s">
        <v>0</v>
      </c>
      <c r="F286" s="145" t="s">
        <v>222</v>
      </c>
      <c r="G286" s="150" t="s">
        <v>0</v>
      </c>
      <c r="H286" s="150" t="s">
        <v>0</v>
      </c>
      <c r="I286" s="150" t="s">
        <v>0</v>
      </c>
      <c r="J286" s="151" t="s">
        <v>0</v>
      </c>
      <c r="K286" s="13">
        <v>10</v>
      </c>
      <c r="L286" s="12" t="s">
        <v>56</v>
      </c>
      <c r="M286" s="13">
        <v>2</v>
      </c>
      <c r="N286" s="13">
        <v>0</v>
      </c>
      <c r="O286" s="14">
        <v>2</v>
      </c>
      <c r="P286" s="113">
        <f t="shared" si="805"/>
        <v>10</v>
      </c>
      <c r="Q286" s="114">
        <f t="shared" si="806"/>
        <v>0</v>
      </c>
      <c r="R286" s="114">
        <f t="shared" si="807"/>
        <v>2</v>
      </c>
      <c r="S286" s="114">
        <f t="shared" si="808"/>
        <v>0</v>
      </c>
      <c r="T286" s="93">
        <f t="shared" si="809"/>
        <v>1</v>
      </c>
      <c r="U286" t="s">
        <v>0</v>
      </c>
      <c r="V286" s="79"/>
      <c r="W286" s="76"/>
      <c r="X286" s="76"/>
      <c r="Y286" s="76"/>
      <c r="Z286" s="76"/>
      <c r="AA286" s="80"/>
      <c r="AB286" s="79"/>
      <c r="AC286" s="76"/>
      <c r="AD286" s="76"/>
      <c r="AE286" s="76"/>
      <c r="AF286" s="76"/>
      <c r="AG286" s="80"/>
      <c r="AH286" s="79"/>
      <c r="AI286" s="76"/>
      <c r="AJ286" s="76">
        <v>10</v>
      </c>
      <c r="AK286" s="76"/>
      <c r="AL286" s="76"/>
      <c r="AM286" s="80"/>
      <c r="AN286" s="79"/>
      <c r="AO286" s="76"/>
      <c r="AP286" s="76"/>
      <c r="AQ286" s="76"/>
      <c r="AR286" s="76"/>
      <c r="AS286" s="80"/>
      <c r="AT286" s="79"/>
      <c r="AU286" s="76"/>
      <c r="AV286" s="76"/>
      <c r="AW286" s="76"/>
      <c r="AX286" s="76"/>
      <c r="AY286" s="80"/>
      <c r="AZ286" s="79"/>
      <c r="BA286" s="76"/>
      <c r="BB286" s="76"/>
      <c r="BC286" s="76"/>
      <c r="BD286" s="76"/>
      <c r="BE286" s="80"/>
      <c r="BF286" s="79"/>
      <c r="BG286" s="76"/>
      <c r="BH286" s="76"/>
      <c r="BI286" s="76"/>
      <c r="BJ286" s="76"/>
      <c r="BK286" s="80"/>
      <c r="BM286" s="125">
        <f t="shared" si="810"/>
        <v>0</v>
      </c>
      <c r="BN286" s="126">
        <f t="shared" si="811"/>
        <v>0</v>
      </c>
      <c r="BO286" s="126">
        <f t="shared" si="812"/>
        <v>10</v>
      </c>
      <c r="BP286" s="126">
        <f t="shared" si="813"/>
        <v>0</v>
      </c>
      <c r="BQ286" s="126">
        <f>SUM(AT286:AY286)</f>
        <v>0</v>
      </c>
      <c r="BR286" s="126">
        <f t="shared" si="814"/>
        <v>0</v>
      </c>
      <c r="BS286" s="127">
        <f t="shared" si="815"/>
        <v>0</v>
      </c>
      <c r="BT286" s="74"/>
      <c r="BU286" s="125">
        <f t="shared" si="816"/>
        <v>0</v>
      </c>
      <c r="BV286" s="126">
        <f t="shared" si="817"/>
        <v>0</v>
      </c>
      <c r="BW286" s="126">
        <f t="shared" si="818"/>
        <v>2</v>
      </c>
      <c r="BX286" s="126">
        <f t="shared" si="819"/>
        <v>0</v>
      </c>
      <c r="BY286" s="126">
        <f t="shared" si="820"/>
        <v>0</v>
      </c>
      <c r="BZ286" s="126">
        <f t="shared" si="820"/>
        <v>0</v>
      </c>
      <c r="CA286" s="126">
        <f t="shared" si="820"/>
        <v>0</v>
      </c>
    </row>
    <row r="287" spans="1:79">
      <c r="A287" s="147" t="str">
        <f t="shared" si="755"/>
        <v>D</v>
      </c>
      <c r="B287" s="148">
        <f t="shared" si="756"/>
        <v>70000</v>
      </c>
      <c r="C287" s="149" t="s">
        <v>229</v>
      </c>
      <c r="D287" s="150" t="s">
        <v>0</v>
      </c>
      <c r="E287" s="150" t="s">
        <v>0</v>
      </c>
      <c r="F287" s="145" t="s">
        <v>228</v>
      </c>
      <c r="G287" s="150" t="s">
        <v>0</v>
      </c>
      <c r="H287" s="150" t="s">
        <v>0</v>
      </c>
      <c r="I287" s="150" t="s">
        <v>0</v>
      </c>
      <c r="J287" s="151" t="s">
        <v>0</v>
      </c>
      <c r="K287" s="13">
        <v>4</v>
      </c>
      <c r="L287" s="12" t="s">
        <v>32</v>
      </c>
      <c r="M287" s="13">
        <v>11</v>
      </c>
      <c r="N287" s="13">
        <v>0</v>
      </c>
      <c r="O287" s="14">
        <v>11</v>
      </c>
      <c r="P287" s="113">
        <f t="shared" si="805"/>
        <v>4</v>
      </c>
      <c r="Q287" s="114">
        <f t="shared" si="806"/>
        <v>0</v>
      </c>
      <c r="R287" s="114">
        <f t="shared" si="807"/>
        <v>11</v>
      </c>
      <c r="S287" s="114">
        <f t="shared" si="808"/>
        <v>0</v>
      </c>
      <c r="T287" s="93">
        <f t="shared" si="809"/>
        <v>1</v>
      </c>
      <c r="U287" t="s">
        <v>0</v>
      </c>
      <c r="V287" s="79"/>
      <c r="W287" s="76"/>
      <c r="X287" s="76"/>
      <c r="Y287" s="76"/>
      <c r="Z287" s="76"/>
      <c r="AA287" s="80"/>
      <c r="AB287" s="79"/>
      <c r="AC287" s="76"/>
      <c r="AD287" s="76"/>
      <c r="AE287" s="76"/>
      <c r="AF287" s="76"/>
      <c r="AG287" s="80"/>
      <c r="AH287" s="79"/>
      <c r="AI287" s="76"/>
      <c r="AJ287" s="76">
        <v>4</v>
      </c>
      <c r="AK287" s="76"/>
      <c r="AL287" s="76"/>
      <c r="AM287" s="80"/>
      <c r="AN287" s="79"/>
      <c r="AO287" s="76"/>
      <c r="AP287" s="76"/>
      <c r="AQ287" s="76"/>
      <c r="AR287" s="76"/>
      <c r="AS287" s="80"/>
      <c r="AT287" s="79"/>
      <c r="AU287" s="76"/>
      <c r="AV287" s="76"/>
      <c r="AW287" s="76"/>
      <c r="AX287" s="76"/>
      <c r="AY287" s="80"/>
      <c r="AZ287" s="79"/>
      <c r="BA287" s="76"/>
      <c r="BB287" s="76"/>
      <c r="BC287" s="76"/>
      <c r="BD287" s="76"/>
      <c r="BE287" s="80"/>
      <c r="BF287" s="79"/>
      <c r="BG287" s="76"/>
      <c r="BH287" s="76"/>
      <c r="BI287" s="76"/>
      <c r="BJ287" s="76"/>
      <c r="BK287" s="80"/>
      <c r="BM287" s="125">
        <f t="shared" si="810"/>
        <v>0</v>
      </c>
      <c r="BN287" s="126">
        <f t="shared" si="811"/>
        <v>0</v>
      </c>
      <c r="BO287" s="126">
        <f t="shared" si="812"/>
        <v>4</v>
      </c>
      <c r="BP287" s="126">
        <f t="shared" si="813"/>
        <v>0</v>
      </c>
      <c r="BQ287" s="126">
        <f>SUM(AT287:AY287)</f>
        <v>0</v>
      </c>
      <c r="BR287" s="126">
        <f t="shared" si="814"/>
        <v>0</v>
      </c>
      <c r="BS287" s="127">
        <f t="shared" si="815"/>
        <v>0</v>
      </c>
      <c r="BT287" s="74"/>
      <c r="BU287" s="125">
        <f t="shared" si="816"/>
        <v>0</v>
      </c>
      <c r="BV287" s="126">
        <f t="shared" si="817"/>
        <v>0</v>
      </c>
      <c r="BW287" s="126">
        <f t="shared" si="818"/>
        <v>11</v>
      </c>
      <c r="BX287" s="126">
        <f t="shared" si="819"/>
        <v>0</v>
      </c>
      <c r="BY287" s="126">
        <f t="shared" si="820"/>
        <v>0</v>
      </c>
      <c r="BZ287" s="126">
        <f t="shared" si="820"/>
        <v>0</v>
      </c>
      <c r="CA287" s="126">
        <f t="shared" si="820"/>
        <v>0</v>
      </c>
    </row>
    <row r="288" spans="1:79">
      <c r="A288" s="147" t="str">
        <f t="shared" si="755"/>
        <v>D</v>
      </c>
      <c r="B288" s="148">
        <f t="shared" si="756"/>
        <v>70000</v>
      </c>
      <c r="C288" s="149" t="s">
        <v>229</v>
      </c>
      <c r="D288" s="150" t="s">
        <v>0</v>
      </c>
      <c r="E288" s="150" t="s">
        <v>0</v>
      </c>
      <c r="F288" s="145" t="s">
        <v>223</v>
      </c>
      <c r="G288" s="150" t="s">
        <v>0</v>
      </c>
      <c r="H288" s="150" t="s">
        <v>0</v>
      </c>
      <c r="I288" s="150" t="s">
        <v>0</v>
      </c>
      <c r="J288" s="151" t="s">
        <v>0</v>
      </c>
      <c r="K288" s="13">
        <v>1</v>
      </c>
      <c r="L288" s="12" t="s">
        <v>32</v>
      </c>
      <c r="M288" s="13">
        <v>0.75</v>
      </c>
      <c r="N288" s="13">
        <v>0</v>
      </c>
      <c r="O288" s="14">
        <v>0.75</v>
      </c>
      <c r="P288" s="113">
        <f t="shared" si="805"/>
        <v>1</v>
      </c>
      <c r="Q288" s="114">
        <f t="shared" si="806"/>
        <v>0</v>
      </c>
      <c r="R288" s="114">
        <f t="shared" si="807"/>
        <v>0.75</v>
      </c>
      <c r="S288" s="114">
        <f t="shared" si="808"/>
        <v>0</v>
      </c>
      <c r="T288" s="93">
        <f t="shared" si="809"/>
        <v>1</v>
      </c>
      <c r="U288" t="s">
        <v>0</v>
      </c>
      <c r="V288" s="79"/>
      <c r="W288" s="76"/>
      <c r="X288" s="76"/>
      <c r="Y288" s="76"/>
      <c r="Z288" s="76"/>
      <c r="AA288" s="80"/>
      <c r="AB288" s="79"/>
      <c r="AC288" s="76"/>
      <c r="AD288" s="76"/>
      <c r="AE288" s="76"/>
      <c r="AF288" s="76"/>
      <c r="AG288" s="80"/>
      <c r="AH288" s="79"/>
      <c r="AI288" s="76"/>
      <c r="AJ288" s="76">
        <v>1</v>
      </c>
      <c r="AK288" s="76"/>
      <c r="AL288" s="76"/>
      <c r="AM288" s="80"/>
      <c r="AN288" s="79"/>
      <c r="AO288" s="76"/>
      <c r="AP288" s="76"/>
      <c r="AQ288" s="76"/>
      <c r="AR288" s="76"/>
      <c r="AS288" s="80"/>
      <c r="AT288" s="79"/>
      <c r="AU288" s="76"/>
      <c r="AV288" s="76"/>
      <c r="AW288" s="76"/>
      <c r="AX288" s="76"/>
      <c r="AY288" s="80"/>
      <c r="AZ288" s="79"/>
      <c r="BA288" s="76"/>
      <c r="BB288" s="76"/>
      <c r="BC288" s="76"/>
      <c r="BD288" s="76"/>
      <c r="BE288" s="80"/>
      <c r="BF288" s="79"/>
      <c r="BG288" s="76"/>
      <c r="BH288" s="76"/>
      <c r="BI288" s="76"/>
      <c r="BJ288" s="76"/>
      <c r="BK288" s="80"/>
      <c r="BM288" s="125">
        <f t="shared" si="810"/>
        <v>0</v>
      </c>
      <c r="BN288" s="126">
        <f t="shared" si="811"/>
        <v>0</v>
      </c>
      <c r="BO288" s="126">
        <f t="shared" si="812"/>
        <v>1</v>
      </c>
      <c r="BP288" s="126">
        <f t="shared" si="813"/>
        <v>0</v>
      </c>
      <c r="BQ288" s="126">
        <f>SUM(AT288:AY288)</f>
        <v>0</v>
      </c>
      <c r="BR288" s="126">
        <f t="shared" si="814"/>
        <v>0</v>
      </c>
      <c r="BS288" s="127">
        <f t="shared" si="815"/>
        <v>0</v>
      </c>
      <c r="BT288" s="74"/>
      <c r="BU288" s="125">
        <f t="shared" si="816"/>
        <v>0</v>
      </c>
      <c r="BV288" s="126">
        <f t="shared" si="817"/>
        <v>0</v>
      </c>
      <c r="BW288" s="126">
        <f t="shared" si="818"/>
        <v>0.75</v>
      </c>
      <c r="BX288" s="126">
        <f t="shared" si="819"/>
        <v>0</v>
      </c>
      <c r="BY288" s="126">
        <f t="shared" si="820"/>
        <v>0</v>
      </c>
      <c r="BZ288" s="126">
        <f t="shared" si="820"/>
        <v>0</v>
      </c>
      <c r="CA288" s="126">
        <f t="shared" si="820"/>
        <v>0</v>
      </c>
    </row>
    <row r="289" spans="1:79">
      <c r="A289" s="147" t="str">
        <f t="shared" si="755"/>
        <v>D</v>
      </c>
      <c r="B289" s="148">
        <f t="shared" si="756"/>
        <v>70000</v>
      </c>
      <c r="C289" s="149" t="s">
        <v>229</v>
      </c>
      <c r="D289" s="150" t="s">
        <v>0</v>
      </c>
      <c r="E289" s="150" t="s">
        <v>0</v>
      </c>
      <c r="F289" s="145" t="s">
        <v>171</v>
      </c>
      <c r="G289" s="150" t="s">
        <v>0</v>
      </c>
      <c r="H289" s="150" t="s">
        <v>0</v>
      </c>
      <c r="I289" s="150" t="s">
        <v>0</v>
      </c>
      <c r="J289" s="151" t="s">
        <v>0</v>
      </c>
      <c r="K289" s="13">
        <v>6</v>
      </c>
      <c r="L289" s="12" t="s">
        <v>32</v>
      </c>
      <c r="M289" s="13">
        <v>1.2</v>
      </c>
      <c r="N289" s="13">
        <v>0</v>
      </c>
      <c r="O289" s="14">
        <v>1.2</v>
      </c>
      <c r="P289" s="113">
        <f t="shared" si="805"/>
        <v>6</v>
      </c>
      <c r="Q289" s="114">
        <f t="shared" si="806"/>
        <v>0</v>
      </c>
      <c r="R289" s="114">
        <f t="shared" si="807"/>
        <v>1.2</v>
      </c>
      <c r="S289" s="114">
        <f t="shared" si="808"/>
        <v>0</v>
      </c>
      <c r="T289" s="93">
        <f t="shared" si="809"/>
        <v>1</v>
      </c>
      <c r="U289" t="s">
        <v>0</v>
      </c>
      <c r="V289" s="79"/>
      <c r="W289" s="76"/>
      <c r="X289" s="76"/>
      <c r="Y289" s="76"/>
      <c r="Z289" s="76"/>
      <c r="AA289" s="80"/>
      <c r="AB289" s="79"/>
      <c r="AC289" s="76"/>
      <c r="AD289" s="76"/>
      <c r="AE289" s="76"/>
      <c r="AF289" s="76"/>
      <c r="AG289" s="80"/>
      <c r="AH289" s="79"/>
      <c r="AI289" s="76"/>
      <c r="AJ289" s="76">
        <v>5</v>
      </c>
      <c r="AK289" s="76"/>
      <c r="AL289" s="76"/>
      <c r="AM289" s="80"/>
      <c r="AN289" s="79"/>
      <c r="AO289" s="76"/>
      <c r="AP289" s="76"/>
      <c r="AQ289" s="76"/>
      <c r="AR289" s="76"/>
      <c r="AS289" s="80"/>
      <c r="AT289" s="79"/>
      <c r="AU289" s="76"/>
      <c r="AV289" s="76"/>
      <c r="AW289" s="76">
        <v>1</v>
      </c>
      <c r="AX289" s="76"/>
      <c r="AY289" s="80"/>
      <c r="AZ289" s="79"/>
      <c r="BA289" s="76"/>
      <c r="BB289" s="76"/>
      <c r="BC289" s="76"/>
      <c r="BD289" s="76"/>
      <c r="BE289" s="80"/>
      <c r="BF289" s="79"/>
      <c r="BG289" s="76"/>
      <c r="BH289" s="76"/>
      <c r="BI289" s="76"/>
      <c r="BJ289" s="76"/>
      <c r="BK289" s="80"/>
      <c r="BM289" s="125">
        <f t="shared" si="810"/>
        <v>0</v>
      </c>
      <c r="BN289" s="126">
        <f t="shared" si="811"/>
        <v>0</v>
      </c>
      <c r="BO289" s="126">
        <f t="shared" si="812"/>
        <v>5</v>
      </c>
      <c r="BP289" s="126">
        <f t="shared" si="813"/>
        <v>0</v>
      </c>
      <c r="BQ289" s="126">
        <f>SUM(AT289:AY289)</f>
        <v>1</v>
      </c>
      <c r="BR289" s="126">
        <f t="shared" si="814"/>
        <v>0</v>
      </c>
      <c r="BS289" s="127">
        <f t="shared" si="815"/>
        <v>0</v>
      </c>
      <c r="BT289" s="74"/>
      <c r="BU289" s="125">
        <f t="shared" si="816"/>
        <v>0</v>
      </c>
      <c r="BV289" s="126">
        <f t="shared" si="817"/>
        <v>0</v>
      </c>
      <c r="BW289" s="126">
        <f t="shared" si="818"/>
        <v>1</v>
      </c>
      <c r="BX289" s="126">
        <f t="shared" si="819"/>
        <v>0</v>
      </c>
      <c r="BY289" s="126">
        <f t="shared" si="820"/>
        <v>0.19999999999999998</v>
      </c>
      <c r="BZ289" s="126">
        <f t="shared" si="820"/>
        <v>0</v>
      </c>
      <c r="CA289" s="126">
        <f t="shared" si="820"/>
        <v>0</v>
      </c>
    </row>
    <row r="290" spans="1:79" ht="15.75">
      <c r="A290" s="152" t="str">
        <f t="shared" si="755"/>
        <v>P</v>
      </c>
      <c r="B290" s="153">
        <f t="shared" si="756"/>
        <v>70000</v>
      </c>
      <c r="C290" s="154" t="s">
        <v>231</v>
      </c>
      <c r="D290" s="155" t="s">
        <v>0</v>
      </c>
      <c r="E290" s="155" t="s">
        <v>0</v>
      </c>
      <c r="F290" s="156" t="s">
        <v>232</v>
      </c>
      <c r="G290" s="155" t="s">
        <v>0</v>
      </c>
      <c r="H290" s="155" t="s">
        <v>0</v>
      </c>
      <c r="I290" s="155" t="s">
        <v>0</v>
      </c>
      <c r="J290" s="157" t="s">
        <v>0</v>
      </c>
      <c r="K290" s="9">
        <v>20</v>
      </c>
      <c r="L290" s="8" t="s">
        <v>56</v>
      </c>
      <c r="M290" s="9">
        <v>52.05</v>
      </c>
      <c r="N290" s="9">
        <v>10.8</v>
      </c>
      <c r="O290" s="10">
        <v>62.85</v>
      </c>
      <c r="P290" s="111"/>
      <c r="Q290" s="112"/>
      <c r="R290" s="112">
        <f>SUMIFS(R291:R$415,$C291:$C$415,$C290)</f>
        <v>62.85</v>
      </c>
      <c r="S290" s="112">
        <f>SUMIFS(S291:S$415,$C291:$C$415,$C290)</f>
        <v>0</v>
      </c>
      <c r="T290" s="92">
        <f>R290/O290</f>
        <v>1</v>
      </c>
      <c r="V290" s="77"/>
      <c r="W290" s="75"/>
      <c r="X290" s="75"/>
      <c r="Y290" s="75"/>
      <c r="Z290" s="75"/>
      <c r="AA290" s="78"/>
      <c r="AB290" s="77"/>
      <c r="AC290" s="75"/>
      <c r="AD290" s="75"/>
      <c r="AE290" s="75"/>
      <c r="AF290" s="75"/>
      <c r="AG290" s="78"/>
      <c r="AH290" s="77"/>
      <c r="AI290" s="75"/>
      <c r="AJ290" s="75"/>
      <c r="AK290" s="75"/>
      <c r="AL290" s="75"/>
      <c r="AM290" s="78"/>
      <c r="AN290" s="77"/>
      <c r="AO290" s="75"/>
      <c r="AP290" s="75"/>
      <c r="AQ290" s="75"/>
      <c r="AR290" s="75"/>
      <c r="AS290" s="78"/>
      <c r="AT290" s="77"/>
      <c r="AU290" s="75"/>
      <c r="AV290" s="75"/>
      <c r="AW290" s="75"/>
      <c r="AX290" s="75"/>
      <c r="AY290" s="78"/>
      <c r="AZ290" s="77"/>
      <c r="BA290" s="75"/>
      <c r="BB290" s="75"/>
      <c r="BC290" s="75"/>
      <c r="BD290" s="75"/>
      <c r="BE290" s="78"/>
      <c r="BF290" s="77"/>
      <c r="BG290" s="75"/>
      <c r="BH290" s="75"/>
      <c r="BI290" s="75"/>
      <c r="BJ290" s="75"/>
      <c r="BK290" s="78"/>
      <c r="BM290" s="122"/>
      <c r="BN290" s="123"/>
      <c r="BO290" s="123"/>
      <c r="BP290" s="123"/>
      <c r="BQ290" s="123"/>
      <c r="BR290" s="123"/>
      <c r="BS290" s="124"/>
      <c r="BT290" s="74"/>
      <c r="BU290" s="122"/>
      <c r="BV290" s="123"/>
      <c r="BW290" s="123"/>
      <c r="BX290" s="123"/>
      <c r="BY290" s="123"/>
      <c r="BZ290" s="123"/>
      <c r="CA290" s="123"/>
    </row>
    <row r="291" spans="1:79">
      <c r="A291" s="147" t="str">
        <f t="shared" si="755"/>
        <v>D</v>
      </c>
      <c r="B291" s="148">
        <f t="shared" si="756"/>
        <v>70000</v>
      </c>
      <c r="C291" s="149" t="s">
        <v>231</v>
      </c>
      <c r="D291" s="150" t="s">
        <v>0</v>
      </c>
      <c r="E291" s="150" t="s">
        <v>0</v>
      </c>
      <c r="F291" s="145" t="s">
        <v>222</v>
      </c>
      <c r="G291" s="150" t="s">
        <v>0</v>
      </c>
      <c r="H291" s="150" t="s">
        <v>0</v>
      </c>
      <c r="I291" s="150" t="s">
        <v>0</v>
      </c>
      <c r="J291" s="151" t="s">
        <v>0</v>
      </c>
      <c r="K291" s="13">
        <v>20</v>
      </c>
      <c r="L291" s="12" t="s">
        <v>56</v>
      </c>
      <c r="M291" s="13">
        <v>4</v>
      </c>
      <c r="N291" s="13">
        <v>0</v>
      </c>
      <c r="O291" s="14">
        <v>4</v>
      </c>
      <c r="P291" s="113">
        <f t="shared" ref="P291:P299" si="821">SUM(BM291:BS291)</f>
        <v>20</v>
      </c>
      <c r="Q291" s="114">
        <f t="shared" ref="Q291:Q299" si="822">K291-P291</f>
        <v>0</v>
      </c>
      <c r="R291" s="114">
        <f t="shared" ref="R291:R299" si="823">SUM(BU291:CA291)</f>
        <v>4</v>
      </c>
      <c r="S291" s="114">
        <f t="shared" ref="S291:S299" si="824">O291-R291</f>
        <v>0</v>
      </c>
      <c r="T291" s="93">
        <f t="shared" ref="T291:T299" si="825">R291/O291</f>
        <v>1</v>
      </c>
      <c r="U291" t="s">
        <v>0</v>
      </c>
      <c r="V291" s="79"/>
      <c r="W291" s="76"/>
      <c r="X291" s="76"/>
      <c r="Y291" s="76"/>
      <c r="Z291" s="76"/>
      <c r="AA291" s="80"/>
      <c r="AB291" s="79"/>
      <c r="AC291" s="76"/>
      <c r="AD291" s="76"/>
      <c r="AE291" s="76">
        <v>20</v>
      </c>
      <c r="AF291" s="76"/>
      <c r="AG291" s="80"/>
      <c r="AH291" s="79"/>
      <c r="AI291" s="76"/>
      <c r="AJ291" s="76"/>
      <c r="AK291" s="76"/>
      <c r="AL291" s="76"/>
      <c r="AM291" s="80"/>
      <c r="AN291" s="79"/>
      <c r="AO291" s="76"/>
      <c r="AP291" s="76"/>
      <c r="AQ291" s="76"/>
      <c r="AR291" s="76"/>
      <c r="AS291" s="80"/>
      <c r="AT291" s="79"/>
      <c r="AU291" s="76"/>
      <c r="AV291" s="76"/>
      <c r="AW291" s="76"/>
      <c r="AX291" s="76"/>
      <c r="AY291" s="80"/>
      <c r="AZ291" s="79"/>
      <c r="BA291" s="76"/>
      <c r="BB291" s="76"/>
      <c r="BC291" s="76"/>
      <c r="BD291" s="76"/>
      <c r="BE291" s="80"/>
      <c r="BF291" s="79"/>
      <c r="BG291" s="76"/>
      <c r="BH291" s="76"/>
      <c r="BI291" s="76"/>
      <c r="BJ291" s="76"/>
      <c r="BK291" s="80"/>
      <c r="BM291" s="125">
        <f t="shared" ref="BM291:BM299" si="826">SUM(V291:AA291)</f>
        <v>0</v>
      </c>
      <c r="BN291" s="126">
        <f t="shared" ref="BN291:BN299" si="827">SUM(AB291:AG291)</f>
        <v>20</v>
      </c>
      <c r="BO291" s="126">
        <f t="shared" ref="BO291:BO299" si="828">SUM(AH291:AM291)</f>
        <v>0</v>
      </c>
      <c r="BP291" s="126">
        <f t="shared" ref="BP291:BP299" si="829">SUM(AN291:AS291)</f>
        <v>0</v>
      </c>
      <c r="BQ291" s="126">
        <f>SUM(AT291:AY291)</f>
        <v>0</v>
      </c>
      <c r="BR291" s="126">
        <f t="shared" ref="BR291:BS299" si="830">SUM(AZ291:BE291)</f>
        <v>0</v>
      </c>
      <c r="BS291" s="127">
        <f t="shared" ref="BS291:BS299" si="831">SUM(BF291:BK291)</f>
        <v>0</v>
      </c>
      <c r="BT291" s="74"/>
      <c r="BU291" s="125">
        <f t="shared" ref="BU291:BU299" si="832">(BM291/$K291)*$O291</f>
        <v>0</v>
      </c>
      <c r="BV291" s="126">
        <f t="shared" ref="BV291:BV299" si="833">(BN291/$K291)*$O291</f>
        <v>4</v>
      </c>
      <c r="BW291" s="126">
        <f t="shared" ref="BW291:BW299" si="834">(BO291/$K291)*$O291</f>
        <v>0</v>
      </c>
      <c r="BX291" s="126">
        <f t="shared" ref="BX291:BX299" si="835">(BP291/$K291)*$O291</f>
        <v>0</v>
      </c>
      <c r="BY291" s="126">
        <f t="shared" ref="BY291:CA299" si="836">(BQ291/$K291)*$O291</f>
        <v>0</v>
      </c>
      <c r="BZ291" s="126">
        <f t="shared" si="836"/>
        <v>0</v>
      </c>
      <c r="CA291" s="126">
        <f t="shared" si="836"/>
        <v>0</v>
      </c>
    </row>
    <row r="292" spans="1:79">
      <c r="A292" s="147" t="str">
        <f t="shared" si="755"/>
        <v>D</v>
      </c>
      <c r="B292" s="148">
        <f t="shared" si="756"/>
        <v>70000</v>
      </c>
      <c r="C292" s="149" t="s">
        <v>231</v>
      </c>
      <c r="D292" s="150" t="s">
        <v>0</v>
      </c>
      <c r="E292" s="150" t="s">
        <v>0</v>
      </c>
      <c r="F292" s="145" t="s">
        <v>233</v>
      </c>
      <c r="G292" s="150" t="s">
        <v>0</v>
      </c>
      <c r="H292" s="150" t="s">
        <v>0</v>
      </c>
      <c r="I292" s="150" t="s">
        <v>0</v>
      </c>
      <c r="J292" s="151" t="s">
        <v>0</v>
      </c>
      <c r="K292" s="13">
        <v>9</v>
      </c>
      <c r="L292" s="12" t="s">
        <v>32</v>
      </c>
      <c r="M292" s="13">
        <v>10.8</v>
      </c>
      <c r="N292" s="13">
        <v>10.8</v>
      </c>
      <c r="O292" s="14">
        <v>21.6</v>
      </c>
      <c r="P292" s="113">
        <f t="shared" si="821"/>
        <v>9</v>
      </c>
      <c r="Q292" s="114">
        <f t="shared" si="822"/>
        <v>0</v>
      </c>
      <c r="R292" s="114">
        <f t="shared" si="823"/>
        <v>21.6</v>
      </c>
      <c r="S292" s="114">
        <f t="shared" si="824"/>
        <v>0</v>
      </c>
      <c r="T292" s="93">
        <f t="shared" si="825"/>
        <v>1</v>
      </c>
      <c r="U292" t="s">
        <v>0</v>
      </c>
      <c r="V292" s="79"/>
      <c r="W292" s="76"/>
      <c r="X292" s="76"/>
      <c r="Y292" s="76"/>
      <c r="Z292" s="76"/>
      <c r="AA292" s="80"/>
      <c r="AB292" s="79"/>
      <c r="AC292" s="76"/>
      <c r="AD292" s="76"/>
      <c r="AE292" s="76"/>
      <c r="AF292" s="76"/>
      <c r="AG292" s="80"/>
      <c r="AH292" s="79"/>
      <c r="AI292" s="76"/>
      <c r="AJ292" s="76"/>
      <c r="AK292" s="76"/>
      <c r="AL292" s="76"/>
      <c r="AM292" s="80">
        <v>4</v>
      </c>
      <c r="AN292" s="79"/>
      <c r="AO292" s="76">
        <v>5</v>
      </c>
      <c r="AP292" s="76"/>
      <c r="AQ292" s="76"/>
      <c r="AR292" s="76"/>
      <c r="AS292" s="80"/>
      <c r="AT292" s="79"/>
      <c r="AU292" s="76"/>
      <c r="AV292" s="76"/>
      <c r="AW292" s="76"/>
      <c r="AX292" s="76"/>
      <c r="AY292" s="80"/>
      <c r="AZ292" s="79"/>
      <c r="BA292" s="76"/>
      <c r="BB292" s="76"/>
      <c r="BC292" s="76"/>
      <c r="BD292" s="76"/>
      <c r="BE292" s="80"/>
      <c r="BF292" s="79"/>
      <c r="BG292" s="76"/>
      <c r="BH292" s="76"/>
      <c r="BI292" s="76"/>
      <c r="BJ292" s="76"/>
      <c r="BK292" s="80"/>
      <c r="BM292" s="125">
        <f t="shared" si="826"/>
        <v>0</v>
      </c>
      <c r="BN292" s="126">
        <f t="shared" si="827"/>
        <v>0</v>
      </c>
      <c r="BO292" s="126">
        <f t="shared" si="828"/>
        <v>4</v>
      </c>
      <c r="BP292" s="126">
        <f t="shared" si="829"/>
        <v>5</v>
      </c>
      <c r="BQ292" s="126">
        <f>SUM(AT292:AY292)</f>
        <v>0</v>
      </c>
      <c r="BR292" s="126">
        <f t="shared" si="830"/>
        <v>0</v>
      </c>
      <c r="BS292" s="127">
        <f t="shared" si="831"/>
        <v>0</v>
      </c>
      <c r="BT292" s="74"/>
      <c r="BU292" s="125">
        <f t="shared" si="832"/>
        <v>0</v>
      </c>
      <c r="BV292" s="126">
        <f t="shared" si="833"/>
        <v>0</v>
      </c>
      <c r="BW292" s="126">
        <f t="shared" si="834"/>
        <v>9.6</v>
      </c>
      <c r="BX292" s="126">
        <f t="shared" si="835"/>
        <v>12.000000000000002</v>
      </c>
      <c r="BY292" s="126">
        <f t="shared" si="836"/>
        <v>0</v>
      </c>
      <c r="BZ292" s="126">
        <f t="shared" si="836"/>
        <v>0</v>
      </c>
      <c r="CA292" s="126">
        <f t="shared" si="836"/>
        <v>0</v>
      </c>
    </row>
    <row r="293" spans="1:79">
      <c r="A293" s="147" t="str">
        <f t="shared" si="755"/>
        <v>D</v>
      </c>
      <c r="B293" s="148">
        <f t="shared" si="756"/>
        <v>70000</v>
      </c>
      <c r="C293" s="149" t="s">
        <v>231</v>
      </c>
      <c r="D293" s="150" t="s">
        <v>0</v>
      </c>
      <c r="E293" s="150" t="s">
        <v>0</v>
      </c>
      <c r="F293" s="145" t="s">
        <v>234</v>
      </c>
      <c r="G293" s="150" t="s">
        <v>0</v>
      </c>
      <c r="H293" s="150" t="s">
        <v>0</v>
      </c>
      <c r="I293" s="150" t="s">
        <v>0</v>
      </c>
      <c r="J293" s="151" t="s">
        <v>0</v>
      </c>
      <c r="K293" s="13">
        <v>4</v>
      </c>
      <c r="L293" s="12" t="s">
        <v>32</v>
      </c>
      <c r="M293" s="13">
        <v>14</v>
      </c>
      <c r="N293" s="13">
        <v>0</v>
      </c>
      <c r="O293" s="14">
        <v>14</v>
      </c>
      <c r="P293" s="113">
        <f t="shared" si="821"/>
        <v>4</v>
      </c>
      <c r="Q293" s="114">
        <f t="shared" si="822"/>
        <v>0</v>
      </c>
      <c r="R293" s="114">
        <f t="shared" si="823"/>
        <v>14</v>
      </c>
      <c r="S293" s="114">
        <f t="shared" si="824"/>
        <v>0</v>
      </c>
      <c r="T293" s="93">
        <f t="shared" si="825"/>
        <v>1</v>
      </c>
      <c r="U293" t="s">
        <v>0</v>
      </c>
      <c r="V293" s="79"/>
      <c r="W293" s="76"/>
      <c r="X293" s="76"/>
      <c r="Y293" s="76"/>
      <c r="Z293" s="76"/>
      <c r="AA293" s="80"/>
      <c r="AB293" s="79"/>
      <c r="AC293" s="76"/>
      <c r="AD293" s="76"/>
      <c r="AE293" s="76"/>
      <c r="AF293" s="76"/>
      <c r="AG293" s="80"/>
      <c r="AH293" s="79">
        <v>4</v>
      </c>
      <c r="AI293" s="76"/>
      <c r="AJ293" s="76"/>
      <c r="AK293" s="76"/>
      <c r="AL293" s="76"/>
      <c r="AM293" s="80"/>
      <c r="AN293" s="79"/>
      <c r="AO293" s="76"/>
      <c r="AP293" s="76"/>
      <c r="AQ293" s="76"/>
      <c r="AR293" s="76"/>
      <c r="AS293" s="80"/>
      <c r="AT293" s="79"/>
      <c r="AU293" s="76"/>
      <c r="AV293" s="76"/>
      <c r="AW293" s="76"/>
      <c r="AX293" s="76"/>
      <c r="AY293" s="80"/>
      <c r="AZ293" s="79"/>
      <c r="BA293" s="76"/>
      <c r="BB293" s="76"/>
      <c r="BC293" s="76"/>
      <c r="BD293" s="76"/>
      <c r="BE293" s="80"/>
      <c r="BF293" s="79"/>
      <c r="BG293" s="76"/>
      <c r="BH293" s="76"/>
      <c r="BI293" s="76"/>
      <c r="BJ293" s="76"/>
      <c r="BK293" s="80"/>
      <c r="BM293" s="125">
        <f t="shared" si="826"/>
        <v>0</v>
      </c>
      <c r="BN293" s="126">
        <f t="shared" si="827"/>
        <v>0</v>
      </c>
      <c r="BO293" s="126">
        <f t="shared" si="828"/>
        <v>4</v>
      </c>
      <c r="BP293" s="126">
        <f t="shared" si="829"/>
        <v>0</v>
      </c>
      <c r="BQ293" s="126">
        <f>SUM(AT293:AY293)</f>
        <v>0</v>
      </c>
      <c r="BR293" s="126">
        <f t="shared" si="830"/>
        <v>0</v>
      </c>
      <c r="BS293" s="127">
        <f t="shared" si="831"/>
        <v>0</v>
      </c>
      <c r="BT293" s="74"/>
      <c r="BU293" s="125">
        <f t="shared" si="832"/>
        <v>0</v>
      </c>
      <c r="BV293" s="126">
        <f t="shared" si="833"/>
        <v>0</v>
      </c>
      <c r="BW293" s="126">
        <f t="shared" si="834"/>
        <v>14</v>
      </c>
      <c r="BX293" s="126">
        <f t="shared" si="835"/>
        <v>0</v>
      </c>
      <c r="BY293" s="126">
        <f t="shared" si="836"/>
        <v>0</v>
      </c>
      <c r="BZ293" s="126">
        <f t="shared" si="836"/>
        <v>0</v>
      </c>
      <c r="CA293" s="126">
        <f t="shared" si="836"/>
        <v>0</v>
      </c>
    </row>
    <row r="294" spans="1:79">
      <c r="A294" s="147" t="str">
        <f t="shared" si="755"/>
        <v>D</v>
      </c>
      <c r="B294" s="148">
        <f t="shared" si="756"/>
        <v>70000</v>
      </c>
      <c r="C294" s="149" t="s">
        <v>231</v>
      </c>
      <c r="D294" s="150" t="s">
        <v>0</v>
      </c>
      <c r="E294" s="150" t="s">
        <v>0</v>
      </c>
      <c r="F294" s="145" t="s">
        <v>235</v>
      </c>
      <c r="G294" s="150" t="s">
        <v>0</v>
      </c>
      <c r="H294" s="150" t="s">
        <v>0</v>
      </c>
      <c r="I294" s="150" t="s">
        <v>0</v>
      </c>
      <c r="J294" s="151" t="s">
        <v>0</v>
      </c>
      <c r="K294" s="13">
        <v>2</v>
      </c>
      <c r="L294" s="12" t="s">
        <v>32</v>
      </c>
      <c r="M294" s="13">
        <v>5.5</v>
      </c>
      <c r="N294" s="13">
        <v>0</v>
      </c>
      <c r="O294" s="14">
        <v>5.5</v>
      </c>
      <c r="P294" s="113">
        <f t="shared" si="821"/>
        <v>2</v>
      </c>
      <c r="Q294" s="114">
        <f t="shared" si="822"/>
        <v>0</v>
      </c>
      <c r="R294" s="114">
        <f t="shared" si="823"/>
        <v>5.5</v>
      </c>
      <c r="S294" s="114">
        <f t="shared" si="824"/>
        <v>0</v>
      </c>
      <c r="T294" s="93">
        <f t="shared" si="825"/>
        <v>1</v>
      </c>
      <c r="U294" t="s">
        <v>0</v>
      </c>
      <c r="V294" s="79"/>
      <c r="W294" s="76"/>
      <c r="X294" s="76"/>
      <c r="Y294" s="76"/>
      <c r="Z294" s="76"/>
      <c r="AA294" s="80"/>
      <c r="AB294" s="79"/>
      <c r="AC294" s="76"/>
      <c r="AD294" s="76"/>
      <c r="AE294" s="76"/>
      <c r="AF294" s="76"/>
      <c r="AG294" s="80"/>
      <c r="AH294" s="79">
        <v>2</v>
      </c>
      <c r="AI294" s="76"/>
      <c r="AJ294" s="76"/>
      <c r="AK294" s="76"/>
      <c r="AL294" s="76"/>
      <c r="AM294" s="80"/>
      <c r="AN294" s="79"/>
      <c r="AO294" s="76"/>
      <c r="AP294" s="76"/>
      <c r="AQ294" s="76"/>
      <c r="AR294" s="76"/>
      <c r="AS294" s="80"/>
      <c r="AT294" s="79"/>
      <c r="AU294" s="76"/>
      <c r="AV294" s="76"/>
      <c r="AW294" s="76"/>
      <c r="AX294" s="76"/>
      <c r="AY294" s="80"/>
      <c r="AZ294" s="79"/>
      <c r="BA294" s="76"/>
      <c r="BB294" s="76"/>
      <c r="BC294" s="76"/>
      <c r="BD294" s="76"/>
      <c r="BE294" s="80"/>
      <c r="BF294" s="79"/>
      <c r="BG294" s="76"/>
      <c r="BH294" s="76"/>
      <c r="BI294" s="76"/>
      <c r="BJ294" s="76"/>
      <c r="BK294" s="80"/>
      <c r="BM294" s="125">
        <f t="shared" si="826"/>
        <v>0</v>
      </c>
      <c r="BN294" s="126">
        <f t="shared" si="827"/>
        <v>0</v>
      </c>
      <c r="BO294" s="126">
        <f t="shared" si="828"/>
        <v>2</v>
      </c>
      <c r="BP294" s="126">
        <f t="shared" si="829"/>
        <v>0</v>
      </c>
      <c r="BQ294" s="126">
        <f>SUM(AT294:AY294)</f>
        <v>0</v>
      </c>
      <c r="BR294" s="126">
        <f t="shared" si="830"/>
        <v>0</v>
      </c>
      <c r="BS294" s="127">
        <f t="shared" si="831"/>
        <v>0</v>
      </c>
      <c r="BT294" s="74"/>
      <c r="BU294" s="125">
        <f t="shared" si="832"/>
        <v>0</v>
      </c>
      <c r="BV294" s="126">
        <f t="shared" si="833"/>
        <v>0</v>
      </c>
      <c r="BW294" s="126">
        <f t="shared" si="834"/>
        <v>5.5</v>
      </c>
      <c r="BX294" s="126">
        <f t="shared" si="835"/>
        <v>0</v>
      </c>
      <c r="BY294" s="126">
        <f t="shared" si="836"/>
        <v>0</v>
      </c>
      <c r="BZ294" s="126">
        <f t="shared" si="836"/>
        <v>0</v>
      </c>
      <c r="CA294" s="126">
        <f t="shared" si="836"/>
        <v>0</v>
      </c>
    </row>
    <row r="295" spans="1:79">
      <c r="A295" s="147" t="str">
        <f t="shared" si="755"/>
        <v>D</v>
      </c>
      <c r="B295" s="148">
        <f t="shared" si="756"/>
        <v>70000</v>
      </c>
      <c r="C295" s="149" t="s">
        <v>231</v>
      </c>
      <c r="D295" s="150" t="s">
        <v>0</v>
      </c>
      <c r="E295" s="150" t="s">
        <v>0</v>
      </c>
      <c r="F295" s="145" t="s">
        <v>236</v>
      </c>
      <c r="G295" s="150" t="s">
        <v>0</v>
      </c>
      <c r="H295" s="150" t="s">
        <v>0</v>
      </c>
      <c r="I295" s="150" t="s">
        <v>0</v>
      </c>
      <c r="J295" s="151" t="s">
        <v>0</v>
      </c>
      <c r="K295" s="13">
        <v>1</v>
      </c>
      <c r="L295" s="12" t="s">
        <v>32</v>
      </c>
      <c r="M295" s="13">
        <v>2.25</v>
      </c>
      <c r="N295" s="13">
        <v>0</v>
      </c>
      <c r="O295" s="14">
        <v>2.25</v>
      </c>
      <c r="P295" s="113">
        <f t="shared" si="821"/>
        <v>1</v>
      </c>
      <c r="Q295" s="114">
        <f t="shared" si="822"/>
        <v>0</v>
      </c>
      <c r="R295" s="114">
        <f t="shared" si="823"/>
        <v>2.25</v>
      </c>
      <c r="S295" s="114">
        <f t="shared" si="824"/>
        <v>0</v>
      </c>
      <c r="T295" s="93">
        <f t="shared" si="825"/>
        <v>1</v>
      </c>
      <c r="U295" t="s">
        <v>0</v>
      </c>
      <c r="V295" s="79"/>
      <c r="W295" s="76"/>
      <c r="X295" s="76"/>
      <c r="Y295" s="76"/>
      <c r="Z295" s="76"/>
      <c r="AA295" s="80"/>
      <c r="AB295" s="79"/>
      <c r="AC295" s="76"/>
      <c r="AD295" s="76"/>
      <c r="AE295" s="76"/>
      <c r="AF295" s="76"/>
      <c r="AG295" s="80"/>
      <c r="AH295" s="79">
        <v>1</v>
      </c>
      <c r="AI295" s="76"/>
      <c r="AJ295" s="76"/>
      <c r="AK295" s="76"/>
      <c r="AL295" s="76"/>
      <c r="AM295" s="80"/>
      <c r="AN295" s="79"/>
      <c r="AO295" s="76"/>
      <c r="AP295" s="76"/>
      <c r="AQ295" s="76"/>
      <c r="AR295" s="76"/>
      <c r="AS295" s="80"/>
      <c r="AT295" s="79"/>
      <c r="AU295" s="76"/>
      <c r="AV295" s="76"/>
      <c r="AW295" s="76"/>
      <c r="AX295" s="76"/>
      <c r="AY295" s="80"/>
      <c r="AZ295" s="79"/>
      <c r="BA295" s="76"/>
      <c r="BB295" s="76"/>
      <c r="BC295" s="76"/>
      <c r="BD295" s="76"/>
      <c r="BE295" s="80"/>
      <c r="BF295" s="79"/>
      <c r="BG295" s="76"/>
      <c r="BH295" s="76"/>
      <c r="BI295" s="76"/>
      <c r="BJ295" s="76"/>
      <c r="BK295" s="80"/>
      <c r="BM295" s="125">
        <f t="shared" si="826"/>
        <v>0</v>
      </c>
      <c r="BN295" s="126">
        <f t="shared" si="827"/>
        <v>0</v>
      </c>
      <c r="BO295" s="126">
        <f t="shared" si="828"/>
        <v>1</v>
      </c>
      <c r="BP295" s="126">
        <f t="shared" si="829"/>
        <v>0</v>
      </c>
      <c r="BQ295" s="126">
        <f>SUM(AT295:AY295)</f>
        <v>0</v>
      </c>
      <c r="BR295" s="126">
        <f t="shared" si="830"/>
        <v>0</v>
      </c>
      <c r="BS295" s="127">
        <f t="shared" si="831"/>
        <v>0</v>
      </c>
      <c r="BT295" s="74"/>
      <c r="BU295" s="125">
        <f t="shared" si="832"/>
        <v>0</v>
      </c>
      <c r="BV295" s="126">
        <f t="shared" si="833"/>
        <v>0</v>
      </c>
      <c r="BW295" s="126">
        <f t="shared" si="834"/>
        <v>2.25</v>
      </c>
      <c r="BX295" s="126">
        <f t="shared" si="835"/>
        <v>0</v>
      </c>
      <c r="BY295" s="126">
        <f t="shared" si="836"/>
        <v>0</v>
      </c>
      <c r="BZ295" s="126">
        <f t="shared" si="836"/>
        <v>0</v>
      </c>
      <c r="CA295" s="126">
        <f t="shared" si="836"/>
        <v>0</v>
      </c>
    </row>
    <row r="296" spans="1:79">
      <c r="A296" s="147" t="str">
        <f t="shared" si="755"/>
        <v>D</v>
      </c>
      <c r="B296" s="148">
        <f t="shared" si="756"/>
        <v>70000</v>
      </c>
      <c r="C296" s="149" t="s">
        <v>231</v>
      </c>
      <c r="D296" s="150" t="s">
        <v>0</v>
      </c>
      <c r="E296" s="150" t="s">
        <v>0</v>
      </c>
      <c r="F296" s="145" t="s">
        <v>228</v>
      </c>
      <c r="G296" s="150" t="s">
        <v>0</v>
      </c>
      <c r="H296" s="150" t="s">
        <v>0</v>
      </c>
      <c r="I296" s="150" t="s">
        <v>0</v>
      </c>
      <c r="J296" s="151" t="s">
        <v>0</v>
      </c>
      <c r="K296" s="13">
        <v>2</v>
      </c>
      <c r="L296" s="12" t="s">
        <v>32</v>
      </c>
      <c r="M296" s="13">
        <v>5.5</v>
      </c>
      <c r="N296" s="13">
        <v>0</v>
      </c>
      <c r="O296" s="14">
        <v>5.5</v>
      </c>
      <c r="P296" s="113">
        <f t="shared" si="821"/>
        <v>2</v>
      </c>
      <c r="Q296" s="114">
        <f t="shared" si="822"/>
        <v>0</v>
      </c>
      <c r="R296" s="114">
        <f t="shared" si="823"/>
        <v>5.5</v>
      </c>
      <c r="S296" s="114">
        <f t="shared" si="824"/>
        <v>0</v>
      </c>
      <c r="T296" s="93">
        <f t="shared" si="825"/>
        <v>1</v>
      </c>
      <c r="U296" t="s">
        <v>0</v>
      </c>
      <c r="V296" s="79"/>
      <c r="W296" s="76"/>
      <c r="X296" s="76"/>
      <c r="Y296" s="76"/>
      <c r="Z296" s="76"/>
      <c r="AA296" s="80"/>
      <c r="AB296" s="79"/>
      <c r="AC296" s="76"/>
      <c r="AD296" s="76"/>
      <c r="AE296" s="76"/>
      <c r="AF296" s="76"/>
      <c r="AG296" s="80"/>
      <c r="AH296" s="79">
        <v>2</v>
      </c>
      <c r="AI296" s="76"/>
      <c r="AJ296" s="76"/>
      <c r="AK296" s="76"/>
      <c r="AL296" s="76"/>
      <c r="AM296" s="80"/>
      <c r="AN296" s="79"/>
      <c r="AO296" s="76"/>
      <c r="AP296" s="76"/>
      <c r="AQ296" s="76"/>
      <c r="AR296" s="76"/>
      <c r="AS296" s="80"/>
      <c r="AT296" s="79"/>
      <c r="AU296" s="76"/>
      <c r="AV296" s="76"/>
      <c r="AW296" s="76"/>
      <c r="AX296" s="76"/>
      <c r="AY296" s="80"/>
      <c r="AZ296" s="79"/>
      <c r="BA296" s="76"/>
      <c r="BB296" s="76"/>
      <c r="BC296" s="76"/>
      <c r="BD296" s="76"/>
      <c r="BE296" s="80"/>
      <c r="BF296" s="79"/>
      <c r="BG296" s="76"/>
      <c r="BH296" s="76"/>
      <c r="BI296" s="76"/>
      <c r="BJ296" s="76"/>
      <c r="BK296" s="80"/>
      <c r="BM296" s="125">
        <f t="shared" si="826"/>
        <v>0</v>
      </c>
      <c r="BN296" s="126">
        <f t="shared" si="827"/>
        <v>0</v>
      </c>
      <c r="BO296" s="126">
        <f t="shared" si="828"/>
        <v>2</v>
      </c>
      <c r="BP296" s="126">
        <f t="shared" si="829"/>
        <v>0</v>
      </c>
      <c r="BQ296" s="126">
        <f>SUM(AT296:AY296)</f>
        <v>0</v>
      </c>
      <c r="BR296" s="126">
        <f t="shared" si="830"/>
        <v>0</v>
      </c>
      <c r="BS296" s="127">
        <f t="shared" si="831"/>
        <v>0</v>
      </c>
      <c r="BT296" s="74"/>
      <c r="BU296" s="125">
        <f t="shared" si="832"/>
        <v>0</v>
      </c>
      <c r="BV296" s="126">
        <f t="shared" si="833"/>
        <v>0</v>
      </c>
      <c r="BW296" s="126">
        <f t="shared" si="834"/>
        <v>5.5</v>
      </c>
      <c r="BX296" s="126">
        <f t="shared" si="835"/>
        <v>0</v>
      </c>
      <c r="BY296" s="126">
        <f t="shared" si="836"/>
        <v>0</v>
      </c>
      <c r="BZ296" s="126">
        <f t="shared" si="836"/>
        <v>0</v>
      </c>
      <c r="CA296" s="126">
        <f t="shared" si="836"/>
        <v>0</v>
      </c>
    </row>
    <row r="297" spans="1:79">
      <c r="A297" s="147" t="str">
        <f t="shared" si="755"/>
        <v>D</v>
      </c>
      <c r="B297" s="148">
        <f t="shared" si="756"/>
        <v>70000</v>
      </c>
      <c r="C297" s="149" t="s">
        <v>231</v>
      </c>
      <c r="D297" s="150" t="s">
        <v>0</v>
      </c>
      <c r="E297" s="150" t="s">
        <v>0</v>
      </c>
      <c r="F297" s="145" t="s">
        <v>237</v>
      </c>
      <c r="G297" s="150" t="s">
        <v>0</v>
      </c>
      <c r="H297" s="150" t="s">
        <v>0</v>
      </c>
      <c r="I297" s="150" t="s">
        <v>0</v>
      </c>
      <c r="J297" s="151" t="s">
        <v>0</v>
      </c>
      <c r="K297" s="13">
        <v>2</v>
      </c>
      <c r="L297" s="12" t="s">
        <v>32</v>
      </c>
      <c r="M297" s="13">
        <v>4</v>
      </c>
      <c r="N297" s="13">
        <v>0</v>
      </c>
      <c r="O297" s="14">
        <v>4</v>
      </c>
      <c r="P297" s="113">
        <f t="shared" si="821"/>
        <v>2</v>
      </c>
      <c r="Q297" s="114">
        <f t="shared" si="822"/>
        <v>0</v>
      </c>
      <c r="R297" s="114">
        <f t="shared" si="823"/>
        <v>4</v>
      </c>
      <c r="S297" s="114">
        <f t="shared" si="824"/>
        <v>0</v>
      </c>
      <c r="T297" s="93">
        <f t="shared" si="825"/>
        <v>1</v>
      </c>
      <c r="U297" t="s">
        <v>0</v>
      </c>
      <c r="V297" s="79"/>
      <c r="W297" s="76"/>
      <c r="X297" s="76"/>
      <c r="Y297" s="76"/>
      <c r="Z297" s="76"/>
      <c r="AA297" s="80"/>
      <c r="AB297" s="79"/>
      <c r="AC297" s="76"/>
      <c r="AD297" s="76"/>
      <c r="AE297" s="76"/>
      <c r="AF297" s="76"/>
      <c r="AG297" s="80"/>
      <c r="AH297" s="79">
        <v>2</v>
      </c>
      <c r="AI297" s="76"/>
      <c r="AJ297" s="76"/>
      <c r="AK297" s="76"/>
      <c r="AL297" s="76"/>
      <c r="AM297" s="80"/>
      <c r="AN297" s="79"/>
      <c r="AO297" s="76"/>
      <c r="AP297" s="76"/>
      <c r="AQ297" s="76"/>
      <c r="AR297" s="76"/>
      <c r="AS297" s="80"/>
      <c r="AT297" s="79"/>
      <c r="AU297" s="76"/>
      <c r="AV297" s="76"/>
      <c r="AW297" s="76"/>
      <c r="AX297" s="76"/>
      <c r="AY297" s="80"/>
      <c r="AZ297" s="79"/>
      <c r="BA297" s="76"/>
      <c r="BB297" s="76"/>
      <c r="BC297" s="76"/>
      <c r="BD297" s="76"/>
      <c r="BE297" s="80"/>
      <c r="BF297" s="79"/>
      <c r="BG297" s="76"/>
      <c r="BH297" s="76"/>
      <c r="BI297" s="76"/>
      <c r="BJ297" s="76"/>
      <c r="BK297" s="80"/>
      <c r="BM297" s="125">
        <f t="shared" si="826"/>
        <v>0</v>
      </c>
      <c r="BN297" s="126">
        <f t="shared" si="827"/>
        <v>0</v>
      </c>
      <c r="BO297" s="126">
        <f t="shared" si="828"/>
        <v>2</v>
      </c>
      <c r="BP297" s="126">
        <f t="shared" si="829"/>
        <v>0</v>
      </c>
      <c r="BQ297" s="126">
        <f>SUM(AT297:AY297)</f>
        <v>0</v>
      </c>
      <c r="BR297" s="126">
        <f t="shared" si="830"/>
        <v>0</v>
      </c>
      <c r="BS297" s="127">
        <f t="shared" si="831"/>
        <v>0</v>
      </c>
      <c r="BT297" s="74"/>
      <c r="BU297" s="125">
        <f t="shared" si="832"/>
        <v>0</v>
      </c>
      <c r="BV297" s="126">
        <f t="shared" si="833"/>
        <v>0</v>
      </c>
      <c r="BW297" s="126">
        <f t="shared" si="834"/>
        <v>4</v>
      </c>
      <c r="BX297" s="126">
        <f t="shared" si="835"/>
        <v>0</v>
      </c>
      <c r="BY297" s="126">
        <f t="shared" si="836"/>
        <v>0</v>
      </c>
      <c r="BZ297" s="126">
        <f t="shared" si="836"/>
        <v>0</v>
      </c>
      <c r="CA297" s="126">
        <f t="shared" si="836"/>
        <v>0</v>
      </c>
    </row>
    <row r="298" spans="1:79">
      <c r="A298" s="147" t="str">
        <f t="shared" si="755"/>
        <v>D</v>
      </c>
      <c r="B298" s="148">
        <f t="shared" si="756"/>
        <v>70000</v>
      </c>
      <c r="C298" s="149" t="s">
        <v>231</v>
      </c>
      <c r="D298" s="150" t="s">
        <v>0</v>
      </c>
      <c r="E298" s="150" t="s">
        <v>0</v>
      </c>
      <c r="F298" s="145" t="s">
        <v>179</v>
      </c>
      <c r="G298" s="150" t="s">
        <v>0</v>
      </c>
      <c r="H298" s="150" t="s">
        <v>0</v>
      </c>
      <c r="I298" s="150" t="s">
        <v>0</v>
      </c>
      <c r="J298" s="151" t="s">
        <v>0</v>
      </c>
      <c r="K298" s="13">
        <v>2</v>
      </c>
      <c r="L298" s="12" t="s">
        <v>32</v>
      </c>
      <c r="M298" s="13">
        <v>3</v>
      </c>
      <c r="N298" s="13">
        <v>0</v>
      </c>
      <c r="O298" s="14">
        <v>3</v>
      </c>
      <c r="P298" s="113">
        <f t="shared" si="821"/>
        <v>2</v>
      </c>
      <c r="Q298" s="114">
        <f t="shared" si="822"/>
        <v>0</v>
      </c>
      <c r="R298" s="114">
        <f t="shared" si="823"/>
        <v>3</v>
      </c>
      <c r="S298" s="114">
        <f t="shared" si="824"/>
        <v>0</v>
      </c>
      <c r="T298" s="93">
        <f t="shared" si="825"/>
        <v>1</v>
      </c>
      <c r="U298" t="s">
        <v>0</v>
      </c>
      <c r="V298" s="79"/>
      <c r="W298" s="76"/>
      <c r="X298" s="76"/>
      <c r="Y298" s="76"/>
      <c r="Z298" s="76"/>
      <c r="AA298" s="80"/>
      <c r="AB298" s="79"/>
      <c r="AC298" s="76"/>
      <c r="AD298" s="76"/>
      <c r="AE298" s="76"/>
      <c r="AF298" s="76"/>
      <c r="AG298" s="80"/>
      <c r="AH298" s="79">
        <v>2</v>
      </c>
      <c r="AI298" s="76"/>
      <c r="AJ298" s="76"/>
      <c r="AK298" s="76"/>
      <c r="AL298" s="76"/>
      <c r="AM298" s="80"/>
      <c r="AN298" s="79"/>
      <c r="AO298" s="76"/>
      <c r="AP298" s="76"/>
      <c r="AQ298" s="76"/>
      <c r="AR298" s="76"/>
      <c r="AS298" s="80"/>
      <c r="AT298" s="79"/>
      <c r="AU298" s="76"/>
      <c r="AV298" s="76"/>
      <c r="AW298" s="76"/>
      <c r="AX298" s="76"/>
      <c r="AY298" s="80"/>
      <c r="AZ298" s="79"/>
      <c r="BA298" s="76"/>
      <c r="BB298" s="76"/>
      <c r="BC298" s="76"/>
      <c r="BD298" s="76"/>
      <c r="BE298" s="80"/>
      <c r="BF298" s="79"/>
      <c r="BG298" s="76"/>
      <c r="BH298" s="76"/>
      <c r="BI298" s="76"/>
      <c r="BJ298" s="76"/>
      <c r="BK298" s="80"/>
      <c r="BM298" s="125">
        <f t="shared" si="826"/>
        <v>0</v>
      </c>
      <c r="BN298" s="126">
        <f t="shared" si="827"/>
        <v>0</v>
      </c>
      <c r="BO298" s="126">
        <f t="shared" si="828"/>
        <v>2</v>
      </c>
      <c r="BP298" s="126">
        <f t="shared" si="829"/>
        <v>0</v>
      </c>
      <c r="BQ298" s="126">
        <f>SUM(AT298:AY298)</f>
        <v>0</v>
      </c>
      <c r="BR298" s="126">
        <f t="shared" si="830"/>
        <v>0</v>
      </c>
      <c r="BS298" s="127">
        <f t="shared" si="831"/>
        <v>0</v>
      </c>
      <c r="BT298" s="74"/>
      <c r="BU298" s="125">
        <f t="shared" si="832"/>
        <v>0</v>
      </c>
      <c r="BV298" s="126">
        <f t="shared" si="833"/>
        <v>0</v>
      </c>
      <c r="BW298" s="126">
        <f t="shared" si="834"/>
        <v>3</v>
      </c>
      <c r="BX298" s="126">
        <f t="shared" si="835"/>
        <v>0</v>
      </c>
      <c r="BY298" s="126">
        <f t="shared" si="836"/>
        <v>0</v>
      </c>
      <c r="BZ298" s="126">
        <f t="shared" si="836"/>
        <v>0</v>
      </c>
      <c r="CA298" s="126">
        <f t="shared" si="836"/>
        <v>0</v>
      </c>
    </row>
    <row r="299" spans="1:79">
      <c r="A299" s="147" t="str">
        <f t="shared" si="755"/>
        <v>D</v>
      </c>
      <c r="B299" s="148">
        <f t="shared" si="756"/>
        <v>70000</v>
      </c>
      <c r="C299" s="149" t="s">
        <v>231</v>
      </c>
      <c r="D299" s="150" t="s">
        <v>0</v>
      </c>
      <c r="E299" s="150" t="s">
        <v>0</v>
      </c>
      <c r="F299" s="145" t="s">
        <v>223</v>
      </c>
      <c r="G299" s="150" t="s">
        <v>0</v>
      </c>
      <c r="H299" s="150" t="s">
        <v>0</v>
      </c>
      <c r="I299" s="150" t="s">
        <v>0</v>
      </c>
      <c r="J299" s="151" t="s">
        <v>0</v>
      </c>
      <c r="K299" s="13">
        <v>4</v>
      </c>
      <c r="L299" s="12" t="s">
        <v>32</v>
      </c>
      <c r="M299" s="13">
        <v>3</v>
      </c>
      <c r="N299" s="13">
        <v>0</v>
      </c>
      <c r="O299" s="14">
        <v>3</v>
      </c>
      <c r="P299" s="113">
        <f t="shared" si="821"/>
        <v>4</v>
      </c>
      <c r="Q299" s="114">
        <f t="shared" si="822"/>
        <v>0</v>
      </c>
      <c r="R299" s="114">
        <f t="shared" si="823"/>
        <v>3</v>
      </c>
      <c r="S299" s="114">
        <f t="shared" si="824"/>
        <v>0</v>
      </c>
      <c r="T299" s="93">
        <f t="shared" si="825"/>
        <v>1</v>
      </c>
      <c r="U299" t="s">
        <v>0</v>
      </c>
      <c r="V299" s="79"/>
      <c r="W299" s="76"/>
      <c r="X299" s="76"/>
      <c r="Y299" s="76"/>
      <c r="Z299" s="76"/>
      <c r="AA299" s="80"/>
      <c r="AB299" s="79"/>
      <c r="AC299" s="76"/>
      <c r="AD299" s="76"/>
      <c r="AE299" s="76"/>
      <c r="AF299" s="76"/>
      <c r="AG299" s="80"/>
      <c r="AH299" s="79"/>
      <c r="AI299" s="76"/>
      <c r="AJ299" s="76"/>
      <c r="AK299" s="76"/>
      <c r="AL299" s="76"/>
      <c r="AM299" s="80">
        <v>2</v>
      </c>
      <c r="AN299" s="79"/>
      <c r="AO299" s="76"/>
      <c r="AP299" s="76"/>
      <c r="AQ299" s="76"/>
      <c r="AR299" s="76"/>
      <c r="AS299" s="80"/>
      <c r="AT299" s="79"/>
      <c r="AU299" s="76"/>
      <c r="AV299" s="76"/>
      <c r="AW299" s="76">
        <v>2</v>
      </c>
      <c r="AX299" s="76"/>
      <c r="AY299" s="80"/>
      <c r="AZ299" s="79"/>
      <c r="BA299" s="76"/>
      <c r="BB299" s="76"/>
      <c r="BC299" s="76"/>
      <c r="BD299" s="76"/>
      <c r="BE299" s="80"/>
      <c r="BF299" s="79"/>
      <c r="BG299" s="76"/>
      <c r="BH299" s="76"/>
      <c r="BI299" s="76"/>
      <c r="BJ299" s="76"/>
      <c r="BK299" s="80"/>
      <c r="BM299" s="125">
        <f t="shared" si="826"/>
        <v>0</v>
      </c>
      <c r="BN299" s="126">
        <f t="shared" si="827"/>
        <v>0</v>
      </c>
      <c r="BO299" s="126">
        <f t="shared" si="828"/>
        <v>2</v>
      </c>
      <c r="BP299" s="126">
        <f t="shared" si="829"/>
        <v>0</v>
      </c>
      <c r="BQ299" s="126">
        <f>SUM(AT299:AY299)</f>
        <v>2</v>
      </c>
      <c r="BR299" s="126">
        <f t="shared" si="830"/>
        <v>0</v>
      </c>
      <c r="BS299" s="127">
        <f t="shared" si="831"/>
        <v>0</v>
      </c>
      <c r="BT299" s="74"/>
      <c r="BU299" s="125">
        <f t="shared" si="832"/>
        <v>0</v>
      </c>
      <c r="BV299" s="126">
        <f t="shared" si="833"/>
        <v>0</v>
      </c>
      <c r="BW299" s="126">
        <f t="shared" si="834"/>
        <v>1.5</v>
      </c>
      <c r="BX299" s="126">
        <f t="shared" si="835"/>
        <v>0</v>
      </c>
      <c r="BY299" s="126">
        <f t="shared" si="836"/>
        <v>1.5</v>
      </c>
      <c r="BZ299" s="126">
        <f t="shared" si="836"/>
        <v>0</v>
      </c>
      <c r="CA299" s="126">
        <f t="shared" si="836"/>
        <v>0</v>
      </c>
    </row>
    <row r="300" spans="1:79" ht="15.75">
      <c r="A300" s="152" t="str">
        <f t="shared" si="755"/>
        <v>P</v>
      </c>
      <c r="B300" s="153">
        <f t="shared" si="756"/>
        <v>70000</v>
      </c>
      <c r="C300" s="154" t="s">
        <v>238</v>
      </c>
      <c r="D300" s="155" t="s">
        <v>0</v>
      </c>
      <c r="E300" s="155" t="s">
        <v>0</v>
      </c>
      <c r="F300" s="156" t="s">
        <v>239</v>
      </c>
      <c r="G300" s="155" t="s">
        <v>0</v>
      </c>
      <c r="H300" s="155" t="s">
        <v>0</v>
      </c>
      <c r="I300" s="155" t="s">
        <v>0</v>
      </c>
      <c r="J300" s="157" t="s">
        <v>0</v>
      </c>
      <c r="K300" s="9">
        <v>10</v>
      </c>
      <c r="L300" s="8" t="s">
        <v>56</v>
      </c>
      <c r="M300" s="9">
        <v>12.81</v>
      </c>
      <c r="N300" s="9">
        <v>0</v>
      </c>
      <c r="O300" s="10">
        <v>12.81</v>
      </c>
      <c r="P300" s="111"/>
      <c r="Q300" s="112"/>
      <c r="R300" s="112">
        <f>SUMIFS(R301:R$415,$C301:$C$415,$C300)</f>
        <v>12.81</v>
      </c>
      <c r="S300" s="112">
        <f>SUMIFS(S301:S$415,$C301:$C$415,$C300)</f>
        <v>0</v>
      </c>
      <c r="T300" s="92">
        <f>R300/O300</f>
        <v>1</v>
      </c>
      <c r="V300" s="77"/>
      <c r="W300" s="75"/>
      <c r="X300" s="75"/>
      <c r="Y300" s="75"/>
      <c r="Z300" s="75"/>
      <c r="AA300" s="78"/>
      <c r="AB300" s="77"/>
      <c r="AC300" s="75"/>
      <c r="AD300" s="75"/>
      <c r="AE300" s="75"/>
      <c r="AF300" s="75"/>
      <c r="AG300" s="78"/>
      <c r="AH300" s="77"/>
      <c r="AI300" s="75"/>
      <c r="AJ300" s="75"/>
      <c r="AK300" s="75"/>
      <c r="AL300" s="75"/>
      <c r="AM300" s="78"/>
      <c r="AN300" s="77"/>
      <c r="AO300" s="75"/>
      <c r="AP300" s="75"/>
      <c r="AQ300" s="75"/>
      <c r="AR300" s="75"/>
      <c r="AS300" s="78"/>
      <c r="AT300" s="77"/>
      <c r="AU300" s="75"/>
      <c r="AV300" s="75"/>
      <c r="AW300" s="75"/>
      <c r="AX300" s="75"/>
      <c r="AY300" s="78"/>
      <c r="AZ300" s="77"/>
      <c r="BA300" s="75"/>
      <c r="BB300" s="75"/>
      <c r="BC300" s="75"/>
      <c r="BD300" s="75"/>
      <c r="BE300" s="78"/>
      <c r="BF300" s="77"/>
      <c r="BG300" s="75"/>
      <c r="BH300" s="75"/>
      <c r="BI300" s="75"/>
      <c r="BJ300" s="75"/>
      <c r="BK300" s="78"/>
      <c r="BM300" s="122"/>
      <c r="BN300" s="123"/>
      <c r="BO300" s="123"/>
      <c r="BP300" s="123"/>
      <c r="BQ300" s="123"/>
      <c r="BR300" s="123"/>
      <c r="BS300" s="124"/>
      <c r="BT300" s="74"/>
      <c r="BU300" s="122"/>
      <c r="BV300" s="123"/>
      <c r="BW300" s="123"/>
      <c r="BX300" s="123"/>
      <c r="BY300" s="123"/>
      <c r="BZ300" s="123"/>
      <c r="CA300" s="123"/>
    </row>
    <row r="301" spans="1:79">
      <c r="A301" s="147" t="str">
        <f t="shared" si="755"/>
        <v>D</v>
      </c>
      <c r="B301" s="148">
        <f t="shared" si="756"/>
        <v>70000</v>
      </c>
      <c r="C301" s="149" t="s">
        <v>238</v>
      </c>
      <c r="D301" s="150" t="s">
        <v>0</v>
      </c>
      <c r="E301" s="150" t="s">
        <v>0</v>
      </c>
      <c r="F301" s="145" t="s">
        <v>166</v>
      </c>
      <c r="G301" s="150" t="s">
        <v>0</v>
      </c>
      <c r="H301" s="150" t="s">
        <v>0</v>
      </c>
      <c r="I301" s="150" t="s">
        <v>0</v>
      </c>
      <c r="J301" s="151" t="s">
        <v>0</v>
      </c>
      <c r="K301" s="13">
        <v>3</v>
      </c>
      <c r="L301" s="12" t="s">
        <v>56</v>
      </c>
      <c r="M301" s="13">
        <v>1.92</v>
      </c>
      <c r="N301" s="13">
        <v>0</v>
      </c>
      <c r="O301" s="14">
        <v>1.92</v>
      </c>
      <c r="P301" s="113">
        <f t="shared" ref="P301:P304" si="837">SUM(BM301:BS301)</f>
        <v>3</v>
      </c>
      <c r="Q301" s="114">
        <f t="shared" ref="Q301:Q304" si="838">K301-P301</f>
        <v>0</v>
      </c>
      <c r="R301" s="114">
        <f t="shared" ref="R301:R304" si="839">SUM(BU301:CA301)</f>
        <v>1.92</v>
      </c>
      <c r="S301" s="114">
        <f t="shared" ref="S301:S304" si="840">O301-R301</f>
        <v>0</v>
      </c>
      <c r="T301" s="93">
        <f t="shared" ref="T301:T304" si="841">R301/O301</f>
        <v>1</v>
      </c>
      <c r="U301" t="s">
        <v>0</v>
      </c>
      <c r="V301" s="79"/>
      <c r="W301" s="76"/>
      <c r="X301" s="76"/>
      <c r="Y301" s="76"/>
      <c r="Z301" s="76"/>
      <c r="AA301" s="80"/>
      <c r="AB301" s="79"/>
      <c r="AC301" s="76"/>
      <c r="AD301" s="76"/>
      <c r="AE301" s="76"/>
      <c r="AF301" s="76"/>
      <c r="AG301" s="80"/>
      <c r="AH301" s="79"/>
      <c r="AI301" s="76"/>
      <c r="AJ301" s="76"/>
      <c r="AK301" s="76"/>
      <c r="AL301" s="76"/>
      <c r="AM301" s="80"/>
      <c r="AN301" s="79"/>
      <c r="AO301" s="76"/>
      <c r="AP301" s="76"/>
      <c r="AQ301" s="76"/>
      <c r="AR301" s="76"/>
      <c r="AS301" s="80"/>
      <c r="AT301" s="79"/>
      <c r="AU301" s="76">
        <v>3</v>
      </c>
      <c r="AV301" s="76"/>
      <c r="AW301" s="76"/>
      <c r="AX301" s="76"/>
      <c r="AY301" s="80"/>
      <c r="AZ301" s="79"/>
      <c r="BA301" s="76"/>
      <c r="BB301" s="76"/>
      <c r="BC301" s="76"/>
      <c r="BD301" s="76"/>
      <c r="BE301" s="80"/>
      <c r="BF301" s="79"/>
      <c r="BG301" s="76"/>
      <c r="BH301" s="76"/>
      <c r="BI301" s="76"/>
      <c r="BJ301" s="76"/>
      <c r="BK301" s="80"/>
      <c r="BM301" s="125">
        <f t="shared" ref="BM301:BM304" si="842">SUM(V301:AA301)</f>
        <v>0</v>
      </c>
      <c r="BN301" s="126">
        <f t="shared" ref="BN301:BN304" si="843">SUM(AB301:AG301)</f>
        <v>0</v>
      </c>
      <c r="BO301" s="126">
        <f t="shared" ref="BO301:BO304" si="844">SUM(AH301:AM301)</f>
        <v>0</v>
      </c>
      <c r="BP301" s="126">
        <f t="shared" ref="BP301:BP304" si="845">SUM(AN301:AS301)</f>
        <v>0</v>
      </c>
      <c r="BQ301" s="126">
        <f>SUM(AT301:AY301)</f>
        <v>3</v>
      </c>
      <c r="BR301" s="126">
        <f t="shared" ref="BR301:BS304" si="846">SUM(AZ301:BE301)</f>
        <v>0</v>
      </c>
      <c r="BS301" s="127">
        <f t="shared" ref="BS301:BS304" si="847">SUM(BF301:BK301)</f>
        <v>0</v>
      </c>
      <c r="BT301" s="74"/>
      <c r="BU301" s="125">
        <f t="shared" ref="BU301:BU304" si="848">(BM301/$K301)*$O301</f>
        <v>0</v>
      </c>
      <c r="BV301" s="126">
        <f t="shared" ref="BV301:BV304" si="849">(BN301/$K301)*$O301</f>
        <v>0</v>
      </c>
      <c r="BW301" s="126">
        <f t="shared" ref="BW301:BW304" si="850">(BO301/$K301)*$O301</f>
        <v>0</v>
      </c>
      <c r="BX301" s="126">
        <f t="shared" ref="BX301:BX304" si="851">(BP301/$K301)*$O301</f>
        <v>0</v>
      </c>
      <c r="BY301" s="126">
        <f t="shared" ref="BY301:CA304" si="852">(BQ301/$K301)*$O301</f>
        <v>1.92</v>
      </c>
      <c r="BZ301" s="126">
        <f t="shared" si="852"/>
        <v>0</v>
      </c>
      <c r="CA301" s="126">
        <f t="shared" si="852"/>
        <v>0</v>
      </c>
    </row>
    <row r="302" spans="1:79">
      <c r="A302" s="147" t="str">
        <f t="shared" si="755"/>
        <v>D</v>
      </c>
      <c r="B302" s="148">
        <f t="shared" si="756"/>
        <v>70000</v>
      </c>
      <c r="C302" s="149" t="s">
        <v>238</v>
      </c>
      <c r="D302" s="150" t="s">
        <v>0</v>
      </c>
      <c r="E302" s="150" t="s">
        <v>0</v>
      </c>
      <c r="F302" s="145" t="s">
        <v>167</v>
      </c>
      <c r="G302" s="150" t="s">
        <v>0</v>
      </c>
      <c r="H302" s="150" t="s">
        <v>0</v>
      </c>
      <c r="I302" s="150" t="s">
        <v>0</v>
      </c>
      <c r="J302" s="151" t="s">
        <v>0</v>
      </c>
      <c r="K302" s="13">
        <v>7</v>
      </c>
      <c r="L302" s="12" t="s">
        <v>56</v>
      </c>
      <c r="M302" s="13">
        <v>3.64</v>
      </c>
      <c r="N302" s="13">
        <v>0</v>
      </c>
      <c r="O302" s="14">
        <v>3.64</v>
      </c>
      <c r="P302" s="113">
        <f t="shared" si="837"/>
        <v>7</v>
      </c>
      <c r="Q302" s="114">
        <f t="shared" si="838"/>
        <v>0</v>
      </c>
      <c r="R302" s="114">
        <f t="shared" si="839"/>
        <v>3.64</v>
      </c>
      <c r="S302" s="114">
        <f t="shared" si="840"/>
        <v>0</v>
      </c>
      <c r="T302" s="93">
        <f t="shared" si="841"/>
        <v>1</v>
      </c>
      <c r="U302" t="s">
        <v>0</v>
      </c>
      <c r="V302" s="79"/>
      <c r="W302" s="76"/>
      <c r="X302" s="76"/>
      <c r="Y302" s="76"/>
      <c r="Z302" s="76"/>
      <c r="AA302" s="80"/>
      <c r="AB302" s="79"/>
      <c r="AC302" s="76"/>
      <c r="AD302" s="76"/>
      <c r="AE302" s="76"/>
      <c r="AF302" s="76"/>
      <c r="AG302" s="80"/>
      <c r="AH302" s="79"/>
      <c r="AI302" s="76"/>
      <c r="AJ302" s="76"/>
      <c r="AK302" s="76"/>
      <c r="AL302" s="76"/>
      <c r="AM302" s="80"/>
      <c r="AN302" s="79"/>
      <c r="AO302" s="76"/>
      <c r="AP302" s="76"/>
      <c r="AQ302" s="76"/>
      <c r="AR302" s="76"/>
      <c r="AS302" s="80"/>
      <c r="AT302" s="79"/>
      <c r="AU302" s="76">
        <v>7</v>
      </c>
      <c r="AV302" s="76"/>
      <c r="AW302" s="76"/>
      <c r="AX302" s="76"/>
      <c r="AY302" s="80"/>
      <c r="AZ302" s="79"/>
      <c r="BA302" s="76"/>
      <c r="BB302" s="76"/>
      <c r="BC302" s="76"/>
      <c r="BD302" s="76"/>
      <c r="BE302" s="80"/>
      <c r="BF302" s="79"/>
      <c r="BG302" s="76"/>
      <c r="BH302" s="76"/>
      <c r="BI302" s="76"/>
      <c r="BJ302" s="76"/>
      <c r="BK302" s="80"/>
      <c r="BM302" s="125">
        <f t="shared" si="842"/>
        <v>0</v>
      </c>
      <c r="BN302" s="126">
        <f t="shared" si="843"/>
        <v>0</v>
      </c>
      <c r="BO302" s="126">
        <f t="shared" si="844"/>
        <v>0</v>
      </c>
      <c r="BP302" s="126">
        <f t="shared" si="845"/>
        <v>0</v>
      </c>
      <c r="BQ302" s="126">
        <f>SUM(AT302:AY302)</f>
        <v>7</v>
      </c>
      <c r="BR302" s="126">
        <f t="shared" si="846"/>
        <v>0</v>
      </c>
      <c r="BS302" s="127">
        <f t="shared" si="847"/>
        <v>0</v>
      </c>
      <c r="BT302" s="74"/>
      <c r="BU302" s="125">
        <f t="shared" si="848"/>
        <v>0</v>
      </c>
      <c r="BV302" s="126">
        <f t="shared" si="849"/>
        <v>0</v>
      </c>
      <c r="BW302" s="126">
        <f t="shared" si="850"/>
        <v>0</v>
      </c>
      <c r="BX302" s="126">
        <f t="shared" si="851"/>
        <v>0</v>
      </c>
      <c r="BY302" s="126">
        <f t="shared" si="852"/>
        <v>3.64</v>
      </c>
      <c r="BZ302" s="126">
        <f t="shared" si="852"/>
        <v>0</v>
      </c>
      <c r="CA302" s="126">
        <f t="shared" si="852"/>
        <v>0</v>
      </c>
    </row>
    <row r="303" spans="1:79">
      <c r="A303" s="147" t="str">
        <f t="shared" si="755"/>
        <v>D</v>
      </c>
      <c r="B303" s="148">
        <f t="shared" si="756"/>
        <v>70000</v>
      </c>
      <c r="C303" s="149" t="s">
        <v>238</v>
      </c>
      <c r="D303" s="150" t="s">
        <v>0</v>
      </c>
      <c r="E303" s="150" t="s">
        <v>0</v>
      </c>
      <c r="F303" s="145" t="s">
        <v>240</v>
      </c>
      <c r="G303" s="150" t="s">
        <v>0</v>
      </c>
      <c r="H303" s="150" t="s">
        <v>0</v>
      </c>
      <c r="I303" s="150" t="s">
        <v>0</v>
      </c>
      <c r="J303" s="151" t="s">
        <v>0</v>
      </c>
      <c r="K303" s="13">
        <v>1</v>
      </c>
      <c r="L303" s="12" t="s">
        <v>32</v>
      </c>
      <c r="M303" s="13">
        <v>3.75</v>
      </c>
      <c r="N303" s="13">
        <v>0</v>
      </c>
      <c r="O303" s="14">
        <v>3.75</v>
      </c>
      <c r="P303" s="113">
        <f t="shared" si="837"/>
        <v>1</v>
      </c>
      <c r="Q303" s="114">
        <f t="shared" si="838"/>
        <v>0</v>
      </c>
      <c r="R303" s="114">
        <f t="shared" si="839"/>
        <v>3.75</v>
      </c>
      <c r="S303" s="114">
        <f t="shared" si="840"/>
        <v>0</v>
      </c>
      <c r="T303" s="93">
        <f t="shared" si="841"/>
        <v>1</v>
      </c>
      <c r="U303" t="s">
        <v>0</v>
      </c>
      <c r="V303" s="79"/>
      <c r="W303" s="76"/>
      <c r="X303" s="76"/>
      <c r="Y303" s="76"/>
      <c r="Z303" s="76"/>
      <c r="AA303" s="80"/>
      <c r="AB303" s="79"/>
      <c r="AC303" s="76"/>
      <c r="AD303" s="76"/>
      <c r="AE303" s="76"/>
      <c r="AF303" s="76"/>
      <c r="AG303" s="80"/>
      <c r="AH303" s="79"/>
      <c r="AI303" s="76"/>
      <c r="AJ303" s="76"/>
      <c r="AK303" s="76"/>
      <c r="AL303" s="76"/>
      <c r="AM303" s="80"/>
      <c r="AN303" s="79"/>
      <c r="AO303" s="76"/>
      <c r="AP303" s="76"/>
      <c r="AQ303" s="76"/>
      <c r="AR303" s="76"/>
      <c r="AS303" s="80"/>
      <c r="AT303" s="79"/>
      <c r="AU303" s="76">
        <v>1</v>
      </c>
      <c r="AV303" s="76"/>
      <c r="AW303" s="76"/>
      <c r="AX303" s="76"/>
      <c r="AY303" s="80"/>
      <c r="AZ303" s="79"/>
      <c r="BA303" s="76"/>
      <c r="BB303" s="76"/>
      <c r="BC303" s="76"/>
      <c r="BD303" s="76"/>
      <c r="BE303" s="80"/>
      <c r="BF303" s="79"/>
      <c r="BG303" s="76"/>
      <c r="BH303" s="76"/>
      <c r="BI303" s="76"/>
      <c r="BJ303" s="76"/>
      <c r="BK303" s="80"/>
      <c r="BM303" s="125">
        <f t="shared" si="842"/>
        <v>0</v>
      </c>
      <c r="BN303" s="126">
        <f t="shared" si="843"/>
        <v>0</v>
      </c>
      <c r="BO303" s="126">
        <f t="shared" si="844"/>
        <v>0</v>
      </c>
      <c r="BP303" s="126">
        <f t="shared" si="845"/>
        <v>0</v>
      </c>
      <c r="BQ303" s="126">
        <f>SUM(AT303:AY303)</f>
        <v>1</v>
      </c>
      <c r="BR303" s="126">
        <f t="shared" si="846"/>
        <v>0</v>
      </c>
      <c r="BS303" s="127">
        <f t="shared" si="847"/>
        <v>0</v>
      </c>
      <c r="BT303" s="74"/>
      <c r="BU303" s="125">
        <f t="shared" si="848"/>
        <v>0</v>
      </c>
      <c r="BV303" s="126">
        <f t="shared" si="849"/>
        <v>0</v>
      </c>
      <c r="BW303" s="126">
        <f t="shared" si="850"/>
        <v>0</v>
      </c>
      <c r="BX303" s="126">
        <f t="shared" si="851"/>
        <v>0</v>
      </c>
      <c r="BY303" s="126">
        <f t="shared" si="852"/>
        <v>3.75</v>
      </c>
      <c r="BZ303" s="126">
        <f t="shared" si="852"/>
        <v>0</v>
      </c>
      <c r="CA303" s="126">
        <f t="shared" si="852"/>
        <v>0</v>
      </c>
    </row>
    <row r="304" spans="1:79">
      <c r="A304" s="147" t="str">
        <f t="shared" si="755"/>
        <v>D</v>
      </c>
      <c r="B304" s="148">
        <f t="shared" si="756"/>
        <v>70000</v>
      </c>
      <c r="C304" s="149" t="s">
        <v>238</v>
      </c>
      <c r="D304" s="150" t="s">
        <v>0</v>
      </c>
      <c r="E304" s="150" t="s">
        <v>0</v>
      </c>
      <c r="F304" s="145" t="s">
        <v>170</v>
      </c>
      <c r="G304" s="150" t="s">
        <v>0</v>
      </c>
      <c r="H304" s="150" t="s">
        <v>0</v>
      </c>
      <c r="I304" s="150" t="s">
        <v>0</v>
      </c>
      <c r="J304" s="151" t="s">
        <v>0</v>
      </c>
      <c r="K304" s="13">
        <v>1</v>
      </c>
      <c r="L304" s="12" t="s">
        <v>32</v>
      </c>
      <c r="M304" s="13">
        <v>3.5</v>
      </c>
      <c r="N304" s="13">
        <v>0</v>
      </c>
      <c r="O304" s="14">
        <v>3.5</v>
      </c>
      <c r="P304" s="113">
        <f t="shared" si="837"/>
        <v>1</v>
      </c>
      <c r="Q304" s="114">
        <f t="shared" si="838"/>
        <v>0</v>
      </c>
      <c r="R304" s="114">
        <f t="shared" si="839"/>
        <v>3.5</v>
      </c>
      <c r="S304" s="114">
        <f t="shared" si="840"/>
        <v>0</v>
      </c>
      <c r="T304" s="93">
        <f t="shared" si="841"/>
        <v>1</v>
      </c>
      <c r="U304" t="s">
        <v>0</v>
      </c>
      <c r="V304" s="79"/>
      <c r="W304" s="76"/>
      <c r="X304" s="76"/>
      <c r="Y304" s="76"/>
      <c r="Z304" s="76"/>
      <c r="AA304" s="80"/>
      <c r="AB304" s="79"/>
      <c r="AC304" s="76"/>
      <c r="AD304" s="76"/>
      <c r="AE304" s="76"/>
      <c r="AF304" s="76"/>
      <c r="AG304" s="80"/>
      <c r="AH304" s="79"/>
      <c r="AI304" s="76"/>
      <c r="AJ304" s="76"/>
      <c r="AK304" s="76"/>
      <c r="AL304" s="76"/>
      <c r="AM304" s="80"/>
      <c r="AN304" s="79"/>
      <c r="AO304" s="76"/>
      <c r="AP304" s="76"/>
      <c r="AQ304" s="76"/>
      <c r="AR304" s="76"/>
      <c r="AS304" s="80"/>
      <c r="AT304" s="79"/>
      <c r="AU304" s="76">
        <v>1</v>
      </c>
      <c r="AV304" s="76"/>
      <c r="AW304" s="76"/>
      <c r="AX304" s="76"/>
      <c r="AY304" s="80"/>
      <c r="AZ304" s="79"/>
      <c r="BA304" s="76"/>
      <c r="BB304" s="76"/>
      <c r="BC304" s="76"/>
      <c r="BD304" s="76"/>
      <c r="BE304" s="80"/>
      <c r="BF304" s="79"/>
      <c r="BG304" s="76"/>
      <c r="BH304" s="76"/>
      <c r="BI304" s="76"/>
      <c r="BJ304" s="76"/>
      <c r="BK304" s="80"/>
      <c r="BM304" s="125">
        <f t="shared" si="842"/>
        <v>0</v>
      </c>
      <c r="BN304" s="126">
        <f t="shared" si="843"/>
        <v>0</v>
      </c>
      <c r="BO304" s="126">
        <f t="shared" si="844"/>
        <v>0</v>
      </c>
      <c r="BP304" s="126">
        <f t="shared" si="845"/>
        <v>0</v>
      </c>
      <c r="BQ304" s="126">
        <f>SUM(AT304:AY304)</f>
        <v>1</v>
      </c>
      <c r="BR304" s="126">
        <f t="shared" si="846"/>
        <v>0</v>
      </c>
      <c r="BS304" s="127">
        <f t="shared" si="847"/>
        <v>0</v>
      </c>
      <c r="BT304" s="74"/>
      <c r="BU304" s="125">
        <f t="shared" si="848"/>
        <v>0</v>
      </c>
      <c r="BV304" s="126">
        <f t="shared" si="849"/>
        <v>0</v>
      </c>
      <c r="BW304" s="126">
        <f t="shared" si="850"/>
        <v>0</v>
      </c>
      <c r="BX304" s="126">
        <f t="shared" si="851"/>
        <v>0</v>
      </c>
      <c r="BY304" s="126">
        <f t="shared" si="852"/>
        <v>3.5</v>
      </c>
      <c r="BZ304" s="126">
        <f t="shared" si="852"/>
        <v>0</v>
      </c>
      <c r="CA304" s="126">
        <f t="shared" si="852"/>
        <v>0</v>
      </c>
    </row>
    <row r="305" spans="1:79" ht="15.75">
      <c r="A305" s="152" t="str">
        <f t="shared" si="755"/>
        <v>P</v>
      </c>
      <c r="B305" s="153">
        <f t="shared" si="756"/>
        <v>70000</v>
      </c>
      <c r="C305" s="154" t="s">
        <v>241</v>
      </c>
      <c r="D305" s="155" t="s">
        <v>0</v>
      </c>
      <c r="E305" s="155" t="s">
        <v>0</v>
      </c>
      <c r="F305" s="156" t="s">
        <v>242</v>
      </c>
      <c r="G305" s="155" t="s">
        <v>0</v>
      </c>
      <c r="H305" s="155" t="s">
        <v>0</v>
      </c>
      <c r="I305" s="155" t="s">
        <v>0</v>
      </c>
      <c r="J305" s="157" t="s">
        <v>0</v>
      </c>
      <c r="K305" s="9">
        <v>10</v>
      </c>
      <c r="L305" s="8" t="s">
        <v>56</v>
      </c>
      <c r="M305" s="9">
        <v>8.0500000000000007</v>
      </c>
      <c r="N305" s="9">
        <v>0</v>
      </c>
      <c r="O305" s="10">
        <v>8.0500000000000007</v>
      </c>
      <c r="P305" s="111"/>
      <c r="Q305" s="112"/>
      <c r="R305" s="112">
        <f>SUMIFS(R306:R$415,$C306:$C$415,$C305)</f>
        <v>8.0500000000000007</v>
      </c>
      <c r="S305" s="112">
        <f>SUMIFS(S306:S$415,$C306:$C$415,$C305)</f>
        <v>0</v>
      </c>
      <c r="T305" s="92">
        <f>R305/O305</f>
        <v>1</v>
      </c>
      <c r="V305" s="77"/>
      <c r="W305" s="75"/>
      <c r="X305" s="75"/>
      <c r="Y305" s="75"/>
      <c r="Z305" s="75"/>
      <c r="AA305" s="78"/>
      <c r="AB305" s="77"/>
      <c r="AC305" s="75"/>
      <c r="AD305" s="75"/>
      <c r="AE305" s="75"/>
      <c r="AF305" s="75"/>
      <c r="AG305" s="78"/>
      <c r="AH305" s="77"/>
      <c r="AI305" s="75"/>
      <c r="AJ305" s="75"/>
      <c r="AK305" s="75"/>
      <c r="AL305" s="75"/>
      <c r="AM305" s="78"/>
      <c r="AN305" s="77"/>
      <c r="AO305" s="75"/>
      <c r="AP305" s="75"/>
      <c r="AQ305" s="75"/>
      <c r="AR305" s="75"/>
      <c r="AS305" s="78"/>
      <c r="AT305" s="77"/>
      <c r="AU305" s="75"/>
      <c r="AV305" s="75"/>
      <c r="AW305" s="75"/>
      <c r="AX305" s="75"/>
      <c r="AY305" s="78"/>
      <c r="AZ305" s="77"/>
      <c r="BA305" s="75"/>
      <c r="BB305" s="75"/>
      <c r="BC305" s="75"/>
      <c r="BD305" s="75"/>
      <c r="BE305" s="78"/>
      <c r="BF305" s="77"/>
      <c r="BG305" s="75"/>
      <c r="BH305" s="75"/>
      <c r="BI305" s="75"/>
      <c r="BJ305" s="75"/>
      <c r="BK305" s="78"/>
      <c r="BM305" s="122"/>
      <c r="BN305" s="123"/>
      <c r="BO305" s="123"/>
      <c r="BP305" s="123"/>
      <c r="BQ305" s="123"/>
      <c r="BR305" s="123"/>
      <c r="BS305" s="124"/>
      <c r="BT305" s="74"/>
      <c r="BU305" s="122"/>
      <c r="BV305" s="123"/>
      <c r="BW305" s="123"/>
      <c r="BX305" s="123"/>
      <c r="BY305" s="123"/>
      <c r="BZ305" s="123"/>
      <c r="CA305" s="123"/>
    </row>
    <row r="306" spans="1:79">
      <c r="A306" s="147" t="str">
        <f t="shared" si="755"/>
        <v>D</v>
      </c>
      <c r="B306" s="148">
        <f t="shared" si="756"/>
        <v>70000</v>
      </c>
      <c r="C306" s="149" t="s">
        <v>241</v>
      </c>
      <c r="D306" s="150" t="s">
        <v>0</v>
      </c>
      <c r="E306" s="150" t="s">
        <v>0</v>
      </c>
      <c r="F306" s="145" t="s">
        <v>175</v>
      </c>
      <c r="G306" s="150" t="s">
        <v>0</v>
      </c>
      <c r="H306" s="150" t="s">
        <v>0</v>
      </c>
      <c r="I306" s="150" t="s">
        <v>0</v>
      </c>
      <c r="J306" s="151" t="s">
        <v>0</v>
      </c>
      <c r="K306" s="13">
        <v>10</v>
      </c>
      <c r="L306" s="12" t="s">
        <v>56</v>
      </c>
      <c r="M306" s="13">
        <v>2.8</v>
      </c>
      <c r="N306" s="13">
        <v>0</v>
      </c>
      <c r="O306" s="14">
        <v>2.8</v>
      </c>
      <c r="P306" s="113">
        <f t="shared" ref="P306:P308" si="853">SUM(BM306:BS306)</f>
        <v>10</v>
      </c>
      <c r="Q306" s="114">
        <f t="shared" ref="Q306:Q308" si="854">K306-P306</f>
        <v>0</v>
      </c>
      <c r="R306" s="114">
        <f t="shared" ref="R306:R308" si="855">SUM(BU306:CA306)</f>
        <v>2.8</v>
      </c>
      <c r="S306" s="114">
        <f t="shared" ref="S306:S308" si="856">O306-R306</f>
        <v>0</v>
      </c>
      <c r="T306" s="93">
        <f t="shared" ref="T306:T308" si="857">R306/O306</f>
        <v>1</v>
      </c>
      <c r="U306" t="s">
        <v>0</v>
      </c>
      <c r="V306" s="79"/>
      <c r="W306" s="76"/>
      <c r="X306" s="76"/>
      <c r="Y306" s="76"/>
      <c r="Z306" s="76"/>
      <c r="AA306" s="80"/>
      <c r="AB306" s="79"/>
      <c r="AC306" s="76"/>
      <c r="AD306" s="76"/>
      <c r="AE306" s="76"/>
      <c r="AF306" s="76"/>
      <c r="AG306" s="80"/>
      <c r="AH306" s="79"/>
      <c r="AI306" s="76"/>
      <c r="AJ306" s="76"/>
      <c r="AK306" s="76"/>
      <c r="AL306" s="76"/>
      <c r="AM306" s="80">
        <v>10</v>
      </c>
      <c r="AN306" s="79"/>
      <c r="AO306" s="76"/>
      <c r="AP306" s="76"/>
      <c r="AQ306" s="76"/>
      <c r="AR306" s="76"/>
      <c r="AS306" s="80"/>
      <c r="AT306" s="79"/>
      <c r="AU306" s="76"/>
      <c r="AV306" s="76"/>
      <c r="AW306" s="76"/>
      <c r="AX306" s="76"/>
      <c r="AY306" s="80"/>
      <c r="AZ306" s="79"/>
      <c r="BA306" s="76"/>
      <c r="BB306" s="76"/>
      <c r="BC306" s="76"/>
      <c r="BD306" s="76"/>
      <c r="BE306" s="80"/>
      <c r="BF306" s="79"/>
      <c r="BG306" s="76"/>
      <c r="BH306" s="76"/>
      <c r="BI306" s="76"/>
      <c r="BJ306" s="76"/>
      <c r="BK306" s="80"/>
      <c r="BM306" s="125">
        <f t="shared" ref="BM306:BM308" si="858">SUM(V306:AA306)</f>
        <v>0</v>
      </c>
      <c r="BN306" s="126">
        <f t="shared" ref="BN306:BN308" si="859">SUM(AB306:AG306)</f>
        <v>0</v>
      </c>
      <c r="BO306" s="126">
        <f t="shared" ref="BO306:BO308" si="860">SUM(AH306:AM306)</f>
        <v>10</v>
      </c>
      <c r="BP306" s="126">
        <f t="shared" ref="BP306:BP308" si="861">SUM(AN306:AS306)</f>
        <v>0</v>
      </c>
      <c r="BQ306" s="126">
        <f>SUM(AT306:AY306)</f>
        <v>0</v>
      </c>
      <c r="BR306" s="126">
        <f t="shared" ref="BR306:BS308" si="862">SUM(AZ306:BE306)</f>
        <v>0</v>
      </c>
      <c r="BS306" s="127">
        <f t="shared" ref="BS306:BS308" si="863">SUM(BF306:BK306)</f>
        <v>0</v>
      </c>
      <c r="BT306" s="74"/>
      <c r="BU306" s="125">
        <f t="shared" ref="BU306:BU308" si="864">(BM306/$K306)*$O306</f>
        <v>0</v>
      </c>
      <c r="BV306" s="126">
        <f t="shared" ref="BV306:BV308" si="865">(BN306/$K306)*$O306</f>
        <v>0</v>
      </c>
      <c r="BW306" s="126">
        <f t="shared" ref="BW306:BW308" si="866">(BO306/$K306)*$O306</f>
        <v>2.8</v>
      </c>
      <c r="BX306" s="126">
        <f t="shared" ref="BX306:BX308" si="867">(BP306/$K306)*$O306</f>
        <v>0</v>
      </c>
      <c r="BY306" s="126">
        <f t="shared" ref="BY306:CA308" si="868">(BQ306/$K306)*$O306</f>
        <v>0</v>
      </c>
      <c r="BZ306" s="126">
        <f t="shared" si="868"/>
        <v>0</v>
      </c>
      <c r="CA306" s="126">
        <f t="shared" si="868"/>
        <v>0</v>
      </c>
    </row>
    <row r="307" spans="1:79">
      <c r="A307" s="147" t="str">
        <f t="shared" si="755"/>
        <v>D</v>
      </c>
      <c r="B307" s="148">
        <f t="shared" si="756"/>
        <v>70000</v>
      </c>
      <c r="C307" s="149" t="s">
        <v>241</v>
      </c>
      <c r="D307" s="150" t="s">
        <v>0</v>
      </c>
      <c r="E307" s="150" t="s">
        <v>0</v>
      </c>
      <c r="F307" s="145" t="s">
        <v>236</v>
      </c>
      <c r="G307" s="150" t="s">
        <v>0</v>
      </c>
      <c r="H307" s="150" t="s">
        <v>0</v>
      </c>
      <c r="I307" s="150" t="s">
        <v>0</v>
      </c>
      <c r="J307" s="151" t="s">
        <v>0</v>
      </c>
      <c r="K307" s="13">
        <v>1</v>
      </c>
      <c r="L307" s="12" t="s">
        <v>32</v>
      </c>
      <c r="M307" s="13">
        <v>2.25</v>
      </c>
      <c r="N307" s="13">
        <v>0</v>
      </c>
      <c r="O307" s="14">
        <v>2.25</v>
      </c>
      <c r="P307" s="113">
        <f t="shared" si="853"/>
        <v>1</v>
      </c>
      <c r="Q307" s="114">
        <f t="shared" si="854"/>
        <v>0</v>
      </c>
      <c r="R307" s="114">
        <f t="shared" si="855"/>
        <v>2.25</v>
      </c>
      <c r="S307" s="114">
        <f t="shared" si="856"/>
        <v>0</v>
      </c>
      <c r="T307" s="93">
        <f t="shared" si="857"/>
        <v>1</v>
      </c>
      <c r="U307" t="s">
        <v>0</v>
      </c>
      <c r="V307" s="79"/>
      <c r="W307" s="76"/>
      <c r="X307" s="76"/>
      <c r="Y307" s="76"/>
      <c r="Z307" s="76"/>
      <c r="AA307" s="80"/>
      <c r="AB307" s="79"/>
      <c r="AC307" s="76"/>
      <c r="AD307" s="76"/>
      <c r="AE307" s="76"/>
      <c r="AF307" s="76"/>
      <c r="AG307" s="80"/>
      <c r="AH307" s="79"/>
      <c r="AI307" s="76"/>
      <c r="AJ307" s="76"/>
      <c r="AK307" s="76"/>
      <c r="AL307" s="76"/>
      <c r="AM307" s="80">
        <v>1</v>
      </c>
      <c r="AN307" s="79"/>
      <c r="AO307" s="76"/>
      <c r="AP307" s="76"/>
      <c r="AQ307" s="76"/>
      <c r="AR307" s="76"/>
      <c r="AS307" s="80"/>
      <c r="AT307" s="79"/>
      <c r="AU307" s="76"/>
      <c r="AV307" s="76"/>
      <c r="AW307" s="76"/>
      <c r="AX307" s="76"/>
      <c r="AY307" s="80"/>
      <c r="AZ307" s="79"/>
      <c r="BA307" s="76"/>
      <c r="BB307" s="76"/>
      <c r="BC307" s="76"/>
      <c r="BD307" s="76"/>
      <c r="BE307" s="80"/>
      <c r="BF307" s="79"/>
      <c r="BG307" s="76"/>
      <c r="BH307" s="76"/>
      <c r="BI307" s="76"/>
      <c r="BJ307" s="76"/>
      <c r="BK307" s="80"/>
      <c r="BM307" s="125">
        <f t="shared" si="858"/>
        <v>0</v>
      </c>
      <c r="BN307" s="126">
        <f t="shared" si="859"/>
        <v>0</v>
      </c>
      <c r="BO307" s="126">
        <f t="shared" si="860"/>
        <v>1</v>
      </c>
      <c r="BP307" s="126">
        <f t="shared" si="861"/>
        <v>0</v>
      </c>
      <c r="BQ307" s="126">
        <f>SUM(AT307:AY307)</f>
        <v>0</v>
      </c>
      <c r="BR307" s="126">
        <f t="shared" si="862"/>
        <v>0</v>
      </c>
      <c r="BS307" s="127">
        <f t="shared" si="863"/>
        <v>0</v>
      </c>
      <c r="BT307" s="74"/>
      <c r="BU307" s="125">
        <f t="shared" si="864"/>
        <v>0</v>
      </c>
      <c r="BV307" s="126">
        <f t="shared" si="865"/>
        <v>0</v>
      </c>
      <c r="BW307" s="126">
        <f t="shared" si="866"/>
        <v>2.25</v>
      </c>
      <c r="BX307" s="126">
        <f t="shared" si="867"/>
        <v>0</v>
      </c>
      <c r="BY307" s="126">
        <f t="shared" si="868"/>
        <v>0</v>
      </c>
      <c r="BZ307" s="126">
        <f t="shared" si="868"/>
        <v>0</v>
      </c>
      <c r="CA307" s="126">
        <f t="shared" si="868"/>
        <v>0</v>
      </c>
    </row>
    <row r="308" spans="1:79">
      <c r="A308" s="147" t="str">
        <f t="shared" si="755"/>
        <v>D</v>
      </c>
      <c r="B308" s="148">
        <f t="shared" si="756"/>
        <v>70000</v>
      </c>
      <c r="C308" s="149" t="s">
        <v>241</v>
      </c>
      <c r="D308" s="150" t="s">
        <v>0</v>
      </c>
      <c r="E308" s="150" t="s">
        <v>0</v>
      </c>
      <c r="F308" s="145" t="s">
        <v>179</v>
      </c>
      <c r="G308" s="150" t="s">
        <v>0</v>
      </c>
      <c r="H308" s="150" t="s">
        <v>0</v>
      </c>
      <c r="I308" s="150" t="s">
        <v>0</v>
      </c>
      <c r="J308" s="151" t="s">
        <v>0</v>
      </c>
      <c r="K308" s="13">
        <v>2</v>
      </c>
      <c r="L308" s="12" t="s">
        <v>32</v>
      </c>
      <c r="M308" s="13">
        <v>3</v>
      </c>
      <c r="N308" s="13">
        <v>0</v>
      </c>
      <c r="O308" s="14">
        <v>3</v>
      </c>
      <c r="P308" s="113">
        <f t="shared" si="853"/>
        <v>2</v>
      </c>
      <c r="Q308" s="114">
        <f t="shared" si="854"/>
        <v>0</v>
      </c>
      <c r="R308" s="114">
        <f t="shared" si="855"/>
        <v>3</v>
      </c>
      <c r="S308" s="114">
        <f t="shared" si="856"/>
        <v>0</v>
      </c>
      <c r="T308" s="93">
        <f t="shared" si="857"/>
        <v>1</v>
      </c>
      <c r="U308" t="s">
        <v>0</v>
      </c>
      <c r="V308" s="79"/>
      <c r="W308" s="76"/>
      <c r="X308" s="76"/>
      <c r="Y308" s="76"/>
      <c r="Z308" s="76"/>
      <c r="AA308" s="80"/>
      <c r="AB308" s="79"/>
      <c r="AC308" s="76"/>
      <c r="AD308" s="76"/>
      <c r="AE308" s="76"/>
      <c r="AF308" s="76"/>
      <c r="AG308" s="80"/>
      <c r="AH308" s="79"/>
      <c r="AI308" s="76"/>
      <c r="AJ308" s="76"/>
      <c r="AK308" s="76"/>
      <c r="AL308" s="76"/>
      <c r="AM308" s="80">
        <v>2</v>
      </c>
      <c r="AN308" s="79"/>
      <c r="AO308" s="76"/>
      <c r="AP308" s="76"/>
      <c r="AQ308" s="76"/>
      <c r="AR308" s="76"/>
      <c r="AS308" s="80"/>
      <c r="AT308" s="79"/>
      <c r="AU308" s="76"/>
      <c r="AV308" s="76"/>
      <c r="AW308" s="76"/>
      <c r="AX308" s="76"/>
      <c r="AY308" s="80"/>
      <c r="AZ308" s="79"/>
      <c r="BA308" s="76"/>
      <c r="BB308" s="76"/>
      <c r="BC308" s="76"/>
      <c r="BD308" s="76"/>
      <c r="BE308" s="80"/>
      <c r="BF308" s="79"/>
      <c r="BG308" s="76"/>
      <c r="BH308" s="76"/>
      <c r="BI308" s="76"/>
      <c r="BJ308" s="76"/>
      <c r="BK308" s="80"/>
      <c r="BM308" s="125">
        <f t="shared" si="858"/>
        <v>0</v>
      </c>
      <c r="BN308" s="126">
        <f t="shared" si="859"/>
        <v>0</v>
      </c>
      <c r="BO308" s="126">
        <f t="shared" si="860"/>
        <v>2</v>
      </c>
      <c r="BP308" s="126">
        <f t="shared" si="861"/>
        <v>0</v>
      </c>
      <c r="BQ308" s="126">
        <f>SUM(AT308:AY308)</f>
        <v>0</v>
      </c>
      <c r="BR308" s="126">
        <f t="shared" si="862"/>
        <v>0</v>
      </c>
      <c r="BS308" s="127">
        <f t="shared" si="863"/>
        <v>0</v>
      </c>
      <c r="BT308" s="74"/>
      <c r="BU308" s="125">
        <f t="shared" si="864"/>
        <v>0</v>
      </c>
      <c r="BV308" s="126">
        <f t="shared" si="865"/>
        <v>0</v>
      </c>
      <c r="BW308" s="126">
        <f t="shared" si="866"/>
        <v>3</v>
      </c>
      <c r="BX308" s="126">
        <f t="shared" si="867"/>
        <v>0</v>
      </c>
      <c r="BY308" s="126">
        <f t="shared" si="868"/>
        <v>0</v>
      </c>
      <c r="BZ308" s="126">
        <f t="shared" si="868"/>
        <v>0</v>
      </c>
      <c r="CA308" s="126">
        <f t="shared" si="868"/>
        <v>0</v>
      </c>
    </row>
    <row r="309" spans="1:79" ht="15.75">
      <c r="A309" s="152" t="str">
        <f t="shared" si="755"/>
        <v>P</v>
      </c>
      <c r="B309" s="153">
        <f t="shared" si="756"/>
        <v>70000</v>
      </c>
      <c r="C309" s="154" t="s">
        <v>243</v>
      </c>
      <c r="D309" s="155" t="s">
        <v>0</v>
      </c>
      <c r="E309" s="155" t="s">
        <v>0</v>
      </c>
      <c r="F309" s="156" t="s">
        <v>244</v>
      </c>
      <c r="G309" s="155" t="s">
        <v>0</v>
      </c>
      <c r="H309" s="155" t="s">
        <v>0</v>
      </c>
      <c r="I309" s="155" t="s">
        <v>0</v>
      </c>
      <c r="J309" s="157" t="s">
        <v>0</v>
      </c>
      <c r="K309" s="9">
        <v>50</v>
      </c>
      <c r="L309" s="8" t="s">
        <v>56</v>
      </c>
      <c r="M309" s="9">
        <v>51.55</v>
      </c>
      <c r="N309" s="9">
        <v>0</v>
      </c>
      <c r="O309" s="10">
        <v>51.55</v>
      </c>
      <c r="P309" s="111"/>
      <c r="Q309" s="112"/>
      <c r="R309" s="112">
        <f>SUMIFS(R310:R$415,$C310:$C$415,$C309)</f>
        <v>30.2</v>
      </c>
      <c r="S309" s="112">
        <f>SUMIFS(S310:S$415,$C310:$C$415,$C309)</f>
        <v>21.35</v>
      </c>
      <c r="T309" s="92">
        <f>R309/O309</f>
        <v>0.58583899127061112</v>
      </c>
      <c r="V309" s="77"/>
      <c r="W309" s="75"/>
      <c r="X309" s="75"/>
      <c r="Y309" s="75"/>
      <c r="Z309" s="75"/>
      <c r="AA309" s="78"/>
      <c r="AB309" s="77"/>
      <c r="AC309" s="75"/>
      <c r="AD309" s="75"/>
      <c r="AE309" s="75"/>
      <c r="AF309" s="75"/>
      <c r="AG309" s="78"/>
      <c r="AH309" s="77"/>
      <c r="AI309" s="75"/>
      <c r="AJ309" s="75"/>
      <c r="AK309" s="75"/>
      <c r="AL309" s="75"/>
      <c r="AM309" s="78"/>
      <c r="AN309" s="77"/>
      <c r="AO309" s="75"/>
      <c r="AP309" s="75"/>
      <c r="AQ309" s="75"/>
      <c r="AR309" s="75"/>
      <c r="AS309" s="78"/>
      <c r="AT309" s="77"/>
      <c r="AU309" s="75"/>
      <c r="AV309" s="75"/>
      <c r="AW309" s="75"/>
      <c r="AX309" s="75"/>
      <c r="AY309" s="78"/>
      <c r="AZ309" s="77"/>
      <c r="BA309" s="75"/>
      <c r="BB309" s="75"/>
      <c r="BC309" s="75"/>
      <c r="BD309" s="75"/>
      <c r="BE309" s="78"/>
      <c r="BF309" s="77"/>
      <c r="BG309" s="75"/>
      <c r="BH309" s="75"/>
      <c r="BI309" s="75"/>
      <c r="BJ309" s="75"/>
      <c r="BK309" s="78"/>
      <c r="BM309" s="122"/>
      <c r="BN309" s="123"/>
      <c r="BO309" s="123"/>
      <c r="BP309" s="123"/>
      <c r="BQ309" s="123"/>
      <c r="BR309" s="123"/>
      <c r="BS309" s="124"/>
      <c r="BT309" s="74"/>
      <c r="BU309" s="122"/>
      <c r="BV309" s="123"/>
      <c r="BW309" s="123"/>
      <c r="BX309" s="123"/>
      <c r="BY309" s="123"/>
      <c r="BZ309" s="123"/>
      <c r="CA309" s="123"/>
    </row>
    <row r="310" spans="1:79">
      <c r="A310" s="147" t="str">
        <f t="shared" si="755"/>
        <v>D</v>
      </c>
      <c r="B310" s="148">
        <f t="shared" si="756"/>
        <v>70000</v>
      </c>
      <c r="C310" s="149" t="s">
        <v>243</v>
      </c>
      <c r="D310" s="150" t="s">
        <v>0</v>
      </c>
      <c r="E310" s="150" t="s">
        <v>0</v>
      </c>
      <c r="F310" s="145" t="s">
        <v>175</v>
      </c>
      <c r="G310" s="150" t="s">
        <v>0</v>
      </c>
      <c r="H310" s="150" t="s">
        <v>0</v>
      </c>
      <c r="I310" s="150" t="s">
        <v>0</v>
      </c>
      <c r="J310" s="151" t="s">
        <v>0</v>
      </c>
      <c r="K310" s="13">
        <v>20</v>
      </c>
      <c r="L310" s="12" t="s">
        <v>56</v>
      </c>
      <c r="M310" s="13">
        <v>5.6</v>
      </c>
      <c r="N310" s="13">
        <v>0</v>
      </c>
      <c r="O310" s="14">
        <v>5.6</v>
      </c>
      <c r="P310" s="113">
        <f t="shared" ref="P310:P320" si="869">SUM(BM310:BS310)</f>
        <v>15</v>
      </c>
      <c r="Q310" s="114">
        <f t="shared" ref="Q310:Q320" si="870">K310-P310</f>
        <v>5</v>
      </c>
      <c r="R310" s="114">
        <f t="shared" ref="R310:R320" si="871">SUM(BU310:CA310)</f>
        <v>4.1999999999999993</v>
      </c>
      <c r="S310" s="114">
        <f t="shared" ref="S310:S320" si="872">O310-R310</f>
        <v>1.4000000000000004</v>
      </c>
      <c r="T310" s="93">
        <f t="shared" ref="T310:T320" si="873">R310/O310</f>
        <v>0.74999999999999989</v>
      </c>
      <c r="U310" t="s">
        <v>0</v>
      </c>
      <c r="V310" s="79"/>
      <c r="W310" s="76"/>
      <c r="X310" s="76"/>
      <c r="Y310" s="76"/>
      <c r="Z310" s="76"/>
      <c r="AA310" s="80"/>
      <c r="AB310" s="79"/>
      <c r="AC310" s="76"/>
      <c r="AD310" s="76"/>
      <c r="AE310" s="76">
        <v>10</v>
      </c>
      <c r="AF310" s="76"/>
      <c r="AG310" s="80"/>
      <c r="AH310" s="79"/>
      <c r="AI310" s="76"/>
      <c r="AJ310" s="76">
        <v>5</v>
      </c>
      <c r="AK310" s="76"/>
      <c r="AL310" s="76"/>
      <c r="AM310" s="80"/>
      <c r="AN310" s="79"/>
      <c r="AO310" s="76"/>
      <c r="AP310" s="76"/>
      <c r="AQ310" s="76"/>
      <c r="AR310" s="76"/>
      <c r="AS310" s="80"/>
      <c r="AT310" s="79"/>
      <c r="AU310" s="76"/>
      <c r="AV310" s="76"/>
      <c r="AW310" s="76"/>
      <c r="AX310" s="76"/>
      <c r="AY310" s="80"/>
      <c r="AZ310" s="79"/>
      <c r="BA310" s="76"/>
      <c r="BB310" s="76"/>
      <c r="BC310" s="76"/>
      <c r="BD310" s="76"/>
      <c r="BE310" s="80"/>
      <c r="BF310" s="79"/>
      <c r="BG310" s="76"/>
      <c r="BH310" s="76"/>
      <c r="BI310" s="76"/>
      <c r="BJ310" s="76"/>
      <c r="BK310" s="80"/>
      <c r="BM310" s="125">
        <f t="shared" ref="BM310:BM320" si="874">SUM(V310:AA310)</f>
        <v>0</v>
      </c>
      <c r="BN310" s="126">
        <f t="shared" ref="BN310:BN320" si="875">SUM(AB310:AG310)</f>
        <v>10</v>
      </c>
      <c r="BO310" s="126">
        <f t="shared" ref="BO310:BO320" si="876">SUM(AH310:AM310)</f>
        <v>5</v>
      </c>
      <c r="BP310" s="126">
        <f t="shared" ref="BP310:BP320" si="877">SUM(AN310:AS310)</f>
        <v>0</v>
      </c>
      <c r="BQ310" s="126">
        <f>SUM(AT310:AY310)</f>
        <v>0</v>
      </c>
      <c r="BR310" s="126">
        <f t="shared" ref="BR310:BS320" si="878">SUM(AZ310:BE310)</f>
        <v>0</v>
      </c>
      <c r="BS310" s="127">
        <f t="shared" ref="BS310:BS320" si="879">SUM(BF310:BK310)</f>
        <v>0</v>
      </c>
      <c r="BT310" s="74"/>
      <c r="BU310" s="125">
        <f t="shared" ref="BU310:BU320" si="880">(BM310/$K310)*$O310</f>
        <v>0</v>
      </c>
      <c r="BV310" s="126">
        <f t="shared" ref="BV310:BV320" si="881">(BN310/$K310)*$O310</f>
        <v>2.8</v>
      </c>
      <c r="BW310" s="126">
        <f t="shared" ref="BW310:BW320" si="882">(BO310/$K310)*$O310</f>
        <v>1.4</v>
      </c>
      <c r="BX310" s="126">
        <f t="shared" ref="BX310:BX320" si="883">(BP310/$K310)*$O310</f>
        <v>0</v>
      </c>
      <c r="BY310" s="126">
        <f t="shared" ref="BY310:CA320" si="884">(BQ310/$K310)*$O310</f>
        <v>0</v>
      </c>
      <c r="BZ310" s="126">
        <f t="shared" si="884"/>
        <v>0</v>
      </c>
      <c r="CA310" s="126">
        <f t="shared" si="884"/>
        <v>0</v>
      </c>
    </row>
    <row r="311" spans="1:79">
      <c r="A311" s="147" t="str">
        <f t="shared" si="755"/>
        <v>D</v>
      </c>
      <c r="B311" s="148">
        <f t="shared" si="756"/>
        <v>70000</v>
      </c>
      <c r="C311" s="149" t="s">
        <v>243</v>
      </c>
      <c r="D311" s="150" t="s">
        <v>0</v>
      </c>
      <c r="E311" s="150" t="s">
        <v>0</v>
      </c>
      <c r="F311" s="145" t="s">
        <v>222</v>
      </c>
      <c r="G311" s="150" t="s">
        <v>0</v>
      </c>
      <c r="H311" s="150" t="s">
        <v>0</v>
      </c>
      <c r="I311" s="150" t="s">
        <v>0</v>
      </c>
      <c r="J311" s="151" t="s">
        <v>0</v>
      </c>
      <c r="K311" s="13">
        <v>30</v>
      </c>
      <c r="L311" s="12" t="s">
        <v>56</v>
      </c>
      <c r="M311" s="13">
        <v>6</v>
      </c>
      <c r="N311" s="13">
        <v>0</v>
      </c>
      <c r="O311" s="14">
        <v>6</v>
      </c>
      <c r="P311" s="113">
        <f t="shared" si="869"/>
        <v>10</v>
      </c>
      <c r="Q311" s="114">
        <f t="shared" si="870"/>
        <v>20</v>
      </c>
      <c r="R311" s="114">
        <f t="shared" si="871"/>
        <v>2</v>
      </c>
      <c r="S311" s="114">
        <f t="shared" si="872"/>
        <v>4</v>
      </c>
      <c r="T311" s="93">
        <f t="shared" si="873"/>
        <v>0.33333333333333331</v>
      </c>
      <c r="U311" t="s">
        <v>0</v>
      </c>
      <c r="V311" s="79"/>
      <c r="W311" s="76"/>
      <c r="X311" s="76"/>
      <c r="Y311" s="76"/>
      <c r="Z311" s="76"/>
      <c r="AA311" s="80"/>
      <c r="AB311" s="79"/>
      <c r="AC311" s="76"/>
      <c r="AD311" s="76"/>
      <c r="AE311" s="76">
        <v>10</v>
      </c>
      <c r="AF311" s="76"/>
      <c r="AG311" s="80"/>
      <c r="AH311" s="79"/>
      <c r="AI311" s="76"/>
      <c r="AJ311" s="76"/>
      <c r="AK311" s="76"/>
      <c r="AL311" s="76"/>
      <c r="AM311" s="80"/>
      <c r="AN311" s="79"/>
      <c r="AO311" s="76"/>
      <c r="AP311" s="76"/>
      <c r="AQ311" s="76"/>
      <c r="AR311" s="76"/>
      <c r="AS311" s="80"/>
      <c r="AT311" s="79"/>
      <c r="AU311" s="76"/>
      <c r="AV311" s="76"/>
      <c r="AW311" s="76"/>
      <c r="AX311" s="76"/>
      <c r="AY311" s="80"/>
      <c r="AZ311" s="79"/>
      <c r="BA311" s="76"/>
      <c r="BB311" s="76"/>
      <c r="BC311" s="76"/>
      <c r="BD311" s="76"/>
      <c r="BE311" s="80"/>
      <c r="BF311" s="79"/>
      <c r="BG311" s="76"/>
      <c r="BH311" s="76"/>
      <c r="BI311" s="76"/>
      <c r="BJ311" s="76"/>
      <c r="BK311" s="80"/>
      <c r="BM311" s="125">
        <f t="shared" si="874"/>
        <v>0</v>
      </c>
      <c r="BN311" s="126">
        <f t="shared" si="875"/>
        <v>10</v>
      </c>
      <c r="BO311" s="126">
        <f t="shared" si="876"/>
        <v>0</v>
      </c>
      <c r="BP311" s="126">
        <f t="shared" si="877"/>
        <v>0</v>
      </c>
      <c r="BQ311" s="126">
        <f>SUM(AT311:AY311)</f>
        <v>0</v>
      </c>
      <c r="BR311" s="126">
        <f t="shared" si="878"/>
        <v>0</v>
      </c>
      <c r="BS311" s="127">
        <f t="shared" si="879"/>
        <v>0</v>
      </c>
      <c r="BT311" s="74"/>
      <c r="BU311" s="125">
        <f t="shared" si="880"/>
        <v>0</v>
      </c>
      <c r="BV311" s="126">
        <f t="shared" si="881"/>
        <v>2</v>
      </c>
      <c r="BW311" s="126">
        <f t="shared" si="882"/>
        <v>0</v>
      </c>
      <c r="BX311" s="126">
        <f t="shared" si="883"/>
        <v>0</v>
      </c>
      <c r="BY311" s="126">
        <f t="shared" si="884"/>
        <v>0</v>
      </c>
      <c r="BZ311" s="126">
        <f t="shared" si="884"/>
        <v>0</v>
      </c>
      <c r="CA311" s="126">
        <f t="shared" si="884"/>
        <v>0</v>
      </c>
    </row>
    <row r="312" spans="1:79">
      <c r="A312" s="147" t="str">
        <f t="shared" si="755"/>
        <v>D</v>
      </c>
      <c r="B312" s="148">
        <f t="shared" si="756"/>
        <v>70000</v>
      </c>
      <c r="C312" s="149" t="s">
        <v>243</v>
      </c>
      <c r="D312" s="150" t="s">
        <v>0</v>
      </c>
      <c r="E312" s="150" t="s">
        <v>0</v>
      </c>
      <c r="F312" s="145" t="s">
        <v>236</v>
      </c>
      <c r="G312" s="150" t="s">
        <v>0</v>
      </c>
      <c r="H312" s="150" t="s">
        <v>0</v>
      </c>
      <c r="I312" s="150" t="s">
        <v>0</v>
      </c>
      <c r="J312" s="151" t="s">
        <v>0</v>
      </c>
      <c r="K312" s="13">
        <v>1</v>
      </c>
      <c r="L312" s="12" t="s">
        <v>32</v>
      </c>
      <c r="M312" s="13">
        <v>2.25</v>
      </c>
      <c r="N312" s="13">
        <v>0</v>
      </c>
      <c r="O312" s="14">
        <v>2.25</v>
      </c>
      <c r="P312" s="113">
        <f t="shared" si="869"/>
        <v>1</v>
      </c>
      <c r="Q312" s="114">
        <f t="shared" si="870"/>
        <v>0</v>
      </c>
      <c r="R312" s="114">
        <f t="shared" si="871"/>
        <v>2.25</v>
      </c>
      <c r="S312" s="114">
        <f t="shared" si="872"/>
        <v>0</v>
      </c>
      <c r="T312" s="93">
        <f t="shared" si="873"/>
        <v>1</v>
      </c>
      <c r="U312" t="s">
        <v>0</v>
      </c>
      <c r="V312" s="79"/>
      <c r="W312" s="76"/>
      <c r="X312" s="76"/>
      <c r="Y312" s="76"/>
      <c r="Z312" s="76"/>
      <c r="AA312" s="80"/>
      <c r="AB312" s="79"/>
      <c r="AC312" s="76"/>
      <c r="AD312" s="76"/>
      <c r="AE312" s="76"/>
      <c r="AF312" s="76"/>
      <c r="AG312" s="80"/>
      <c r="AH312" s="79"/>
      <c r="AI312" s="76"/>
      <c r="AJ312" s="76">
        <v>1</v>
      </c>
      <c r="AK312" s="76"/>
      <c r="AL312" s="76"/>
      <c r="AM312" s="80"/>
      <c r="AN312" s="79"/>
      <c r="AO312" s="76"/>
      <c r="AP312" s="76"/>
      <c r="AQ312" s="76"/>
      <c r="AR312" s="76"/>
      <c r="AS312" s="80"/>
      <c r="AT312" s="79"/>
      <c r="AU312" s="76"/>
      <c r="AV312" s="76"/>
      <c r="AW312" s="76"/>
      <c r="AX312" s="76"/>
      <c r="AY312" s="80"/>
      <c r="AZ312" s="79"/>
      <c r="BA312" s="76"/>
      <c r="BB312" s="76"/>
      <c r="BC312" s="76"/>
      <c r="BD312" s="76"/>
      <c r="BE312" s="80"/>
      <c r="BF312" s="79"/>
      <c r="BG312" s="76"/>
      <c r="BH312" s="76"/>
      <c r="BI312" s="76"/>
      <c r="BJ312" s="76"/>
      <c r="BK312" s="80"/>
      <c r="BM312" s="125">
        <f t="shared" si="874"/>
        <v>0</v>
      </c>
      <c r="BN312" s="126">
        <f t="shared" si="875"/>
        <v>0</v>
      </c>
      <c r="BO312" s="126">
        <f t="shared" si="876"/>
        <v>1</v>
      </c>
      <c r="BP312" s="126">
        <f t="shared" si="877"/>
        <v>0</v>
      </c>
      <c r="BQ312" s="126">
        <f>SUM(AT312:AY312)</f>
        <v>0</v>
      </c>
      <c r="BR312" s="126">
        <f t="shared" si="878"/>
        <v>0</v>
      </c>
      <c r="BS312" s="127">
        <f t="shared" si="879"/>
        <v>0</v>
      </c>
      <c r="BT312" s="74"/>
      <c r="BU312" s="125">
        <f t="shared" si="880"/>
        <v>0</v>
      </c>
      <c r="BV312" s="126">
        <f t="shared" si="881"/>
        <v>0</v>
      </c>
      <c r="BW312" s="126">
        <f t="shared" si="882"/>
        <v>2.25</v>
      </c>
      <c r="BX312" s="126">
        <f t="shared" si="883"/>
        <v>0</v>
      </c>
      <c r="BY312" s="126">
        <f t="shared" si="884"/>
        <v>0</v>
      </c>
      <c r="BZ312" s="126">
        <f t="shared" si="884"/>
        <v>0</v>
      </c>
      <c r="CA312" s="126">
        <f t="shared" si="884"/>
        <v>0</v>
      </c>
    </row>
    <row r="313" spans="1:79">
      <c r="A313" s="147" t="str">
        <f t="shared" si="755"/>
        <v>D</v>
      </c>
      <c r="B313" s="148">
        <f t="shared" si="756"/>
        <v>70000</v>
      </c>
      <c r="C313" s="149" t="s">
        <v>243</v>
      </c>
      <c r="D313" s="150" t="s">
        <v>0</v>
      </c>
      <c r="E313" s="150" t="s">
        <v>0</v>
      </c>
      <c r="F313" s="145" t="s">
        <v>178</v>
      </c>
      <c r="G313" s="150" t="s">
        <v>0</v>
      </c>
      <c r="H313" s="150" t="s">
        <v>0</v>
      </c>
      <c r="I313" s="150" t="s">
        <v>0</v>
      </c>
      <c r="J313" s="151" t="s">
        <v>0</v>
      </c>
      <c r="K313" s="13">
        <v>1</v>
      </c>
      <c r="L313" s="12" t="s">
        <v>32</v>
      </c>
      <c r="M313" s="13">
        <v>1.75</v>
      </c>
      <c r="N313" s="13">
        <v>0</v>
      </c>
      <c r="O313" s="14">
        <v>1.75</v>
      </c>
      <c r="P313" s="113">
        <f t="shared" si="869"/>
        <v>1</v>
      </c>
      <c r="Q313" s="114">
        <f t="shared" si="870"/>
        <v>0</v>
      </c>
      <c r="R313" s="114">
        <f t="shared" si="871"/>
        <v>1.75</v>
      </c>
      <c r="S313" s="114">
        <f t="shared" si="872"/>
        <v>0</v>
      </c>
      <c r="T313" s="93">
        <f t="shared" si="873"/>
        <v>1</v>
      </c>
      <c r="U313" t="s">
        <v>0</v>
      </c>
      <c r="V313" s="79"/>
      <c r="W313" s="76"/>
      <c r="X313" s="76"/>
      <c r="Y313" s="76"/>
      <c r="Z313" s="76"/>
      <c r="AA313" s="80"/>
      <c r="AB313" s="79"/>
      <c r="AC313" s="76"/>
      <c r="AD313" s="76"/>
      <c r="AE313" s="76"/>
      <c r="AF313" s="76"/>
      <c r="AG313" s="80"/>
      <c r="AH313" s="79"/>
      <c r="AI313" s="76"/>
      <c r="AJ313" s="76">
        <v>1</v>
      </c>
      <c r="AK313" s="76"/>
      <c r="AL313" s="76"/>
      <c r="AM313" s="80"/>
      <c r="AN313" s="79"/>
      <c r="AO313" s="76"/>
      <c r="AP313" s="76"/>
      <c r="AQ313" s="76"/>
      <c r="AR313" s="76"/>
      <c r="AS313" s="80"/>
      <c r="AT313" s="79"/>
      <c r="AU313" s="76"/>
      <c r="AV313" s="76"/>
      <c r="AW313" s="76"/>
      <c r="AX313" s="76"/>
      <c r="AY313" s="80"/>
      <c r="AZ313" s="79"/>
      <c r="BA313" s="76"/>
      <c r="BB313" s="76"/>
      <c r="BC313" s="76"/>
      <c r="BD313" s="76"/>
      <c r="BE313" s="80"/>
      <c r="BF313" s="79"/>
      <c r="BG313" s="76"/>
      <c r="BH313" s="76"/>
      <c r="BI313" s="76"/>
      <c r="BJ313" s="76"/>
      <c r="BK313" s="80"/>
      <c r="BM313" s="125">
        <f t="shared" si="874"/>
        <v>0</v>
      </c>
      <c r="BN313" s="126">
        <f t="shared" si="875"/>
        <v>0</v>
      </c>
      <c r="BO313" s="126">
        <f t="shared" si="876"/>
        <v>1</v>
      </c>
      <c r="BP313" s="126">
        <f t="shared" si="877"/>
        <v>0</v>
      </c>
      <c r="BQ313" s="126">
        <f>SUM(AT313:AY313)</f>
        <v>0</v>
      </c>
      <c r="BR313" s="126">
        <f t="shared" si="878"/>
        <v>0</v>
      </c>
      <c r="BS313" s="127">
        <f t="shared" si="879"/>
        <v>0</v>
      </c>
      <c r="BT313" s="74"/>
      <c r="BU313" s="125">
        <f t="shared" si="880"/>
        <v>0</v>
      </c>
      <c r="BV313" s="126">
        <f t="shared" si="881"/>
        <v>0</v>
      </c>
      <c r="BW313" s="126">
        <f t="shared" si="882"/>
        <v>1.75</v>
      </c>
      <c r="BX313" s="126">
        <f t="shared" si="883"/>
        <v>0</v>
      </c>
      <c r="BY313" s="126">
        <f t="shared" si="884"/>
        <v>0</v>
      </c>
      <c r="BZ313" s="126">
        <f t="shared" si="884"/>
        <v>0</v>
      </c>
      <c r="CA313" s="126">
        <f t="shared" si="884"/>
        <v>0</v>
      </c>
    </row>
    <row r="314" spans="1:79">
      <c r="A314" s="147" t="str">
        <f t="shared" si="755"/>
        <v>D</v>
      </c>
      <c r="B314" s="148">
        <f t="shared" si="756"/>
        <v>70000</v>
      </c>
      <c r="C314" s="149" t="s">
        <v>243</v>
      </c>
      <c r="D314" s="150" t="s">
        <v>0</v>
      </c>
      <c r="E314" s="150" t="s">
        <v>0</v>
      </c>
      <c r="F314" s="145" t="s">
        <v>194</v>
      </c>
      <c r="G314" s="150" t="s">
        <v>0</v>
      </c>
      <c r="H314" s="150" t="s">
        <v>0</v>
      </c>
      <c r="I314" s="150" t="s">
        <v>0</v>
      </c>
      <c r="J314" s="151" t="s">
        <v>0</v>
      </c>
      <c r="K314" s="13">
        <v>6</v>
      </c>
      <c r="L314" s="12" t="s">
        <v>32</v>
      </c>
      <c r="M314" s="13">
        <v>3</v>
      </c>
      <c r="N314" s="13">
        <v>0</v>
      </c>
      <c r="O314" s="14">
        <v>3</v>
      </c>
      <c r="P314" s="113">
        <f t="shared" si="869"/>
        <v>0</v>
      </c>
      <c r="Q314" s="114">
        <f t="shared" si="870"/>
        <v>6</v>
      </c>
      <c r="R314" s="114">
        <f t="shared" si="871"/>
        <v>0</v>
      </c>
      <c r="S314" s="114">
        <f t="shared" si="872"/>
        <v>3</v>
      </c>
      <c r="T314" s="93">
        <f t="shared" si="873"/>
        <v>0</v>
      </c>
      <c r="U314" t="s">
        <v>0</v>
      </c>
      <c r="V314" s="79"/>
      <c r="W314" s="76"/>
      <c r="X314" s="76"/>
      <c r="Y314" s="76"/>
      <c r="Z314" s="76"/>
      <c r="AA314" s="80"/>
      <c r="AB314" s="79"/>
      <c r="AC314" s="76"/>
      <c r="AD314" s="76"/>
      <c r="AE314" s="76"/>
      <c r="AF314" s="76"/>
      <c r="AG314" s="80"/>
      <c r="AH314" s="79"/>
      <c r="AI314" s="76"/>
      <c r="AJ314" s="76"/>
      <c r="AK314" s="76"/>
      <c r="AL314" s="76"/>
      <c r="AM314" s="80"/>
      <c r="AN314" s="79"/>
      <c r="AO314" s="76"/>
      <c r="AP314" s="76"/>
      <c r="AQ314" s="76"/>
      <c r="AR314" s="76"/>
      <c r="AS314" s="80"/>
      <c r="AT314" s="79"/>
      <c r="AU314" s="76"/>
      <c r="AV314" s="76"/>
      <c r="AW314" s="76"/>
      <c r="AX314" s="76"/>
      <c r="AY314" s="80"/>
      <c r="AZ314" s="79"/>
      <c r="BA314" s="76"/>
      <c r="BB314" s="76"/>
      <c r="BC314" s="76"/>
      <c r="BD314" s="76"/>
      <c r="BE314" s="80"/>
      <c r="BF314" s="79"/>
      <c r="BG314" s="76"/>
      <c r="BH314" s="76"/>
      <c r="BI314" s="76"/>
      <c r="BJ314" s="76"/>
      <c r="BK314" s="80"/>
      <c r="BM314" s="125">
        <f t="shared" si="874"/>
        <v>0</v>
      </c>
      <c r="BN314" s="126">
        <f t="shared" si="875"/>
        <v>0</v>
      </c>
      <c r="BO314" s="126">
        <f t="shared" si="876"/>
        <v>0</v>
      </c>
      <c r="BP314" s="126">
        <f t="shared" si="877"/>
        <v>0</v>
      </c>
      <c r="BQ314" s="126">
        <f>SUM(AT314:AY314)</f>
        <v>0</v>
      </c>
      <c r="BR314" s="126">
        <f t="shared" si="878"/>
        <v>0</v>
      </c>
      <c r="BS314" s="127">
        <f t="shared" si="879"/>
        <v>0</v>
      </c>
      <c r="BT314" s="74"/>
      <c r="BU314" s="125">
        <f t="shared" si="880"/>
        <v>0</v>
      </c>
      <c r="BV314" s="126">
        <f t="shared" si="881"/>
        <v>0</v>
      </c>
      <c r="BW314" s="126">
        <f t="shared" si="882"/>
        <v>0</v>
      </c>
      <c r="BX314" s="126">
        <f t="shared" si="883"/>
        <v>0</v>
      </c>
      <c r="BY314" s="126">
        <f t="shared" si="884"/>
        <v>0</v>
      </c>
      <c r="BZ314" s="126">
        <f t="shared" si="884"/>
        <v>0</v>
      </c>
      <c r="CA314" s="126">
        <f t="shared" si="884"/>
        <v>0</v>
      </c>
    </row>
    <row r="315" spans="1:79">
      <c r="A315" s="147" t="str">
        <f t="shared" si="755"/>
        <v>D</v>
      </c>
      <c r="B315" s="148">
        <f t="shared" si="756"/>
        <v>70000</v>
      </c>
      <c r="C315" s="149" t="s">
        <v>243</v>
      </c>
      <c r="D315" s="150" t="s">
        <v>0</v>
      </c>
      <c r="E315" s="150" t="s">
        <v>0</v>
      </c>
      <c r="F315" s="145" t="s">
        <v>179</v>
      </c>
      <c r="G315" s="150" t="s">
        <v>0</v>
      </c>
      <c r="H315" s="150" t="s">
        <v>0</v>
      </c>
      <c r="I315" s="150" t="s">
        <v>0</v>
      </c>
      <c r="J315" s="151" t="s">
        <v>0</v>
      </c>
      <c r="K315" s="13">
        <v>5</v>
      </c>
      <c r="L315" s="12" t="s">
        <v>32</v>
      </c>
      <c r="M315" s="13">
        <v>7.5</v>
      </c>
      <c r="N315" s="13">
        <v>0</v>
      </c>
      <c r="O315" s="14">
        <v>7.5</v>
      </c>
      <c r="P315" s="113">
        <f t="shared" si="869"/>
        <v>5</v>
      </c>
      <c r="Q315" s="114">
        <f t="shared" si="870"/>
        <v>0</v>
      </c>
      <c r="R315" s="114">
        <f t="shared" si="871"/>
        <v>7.5</v>
      </c>
      <c r="S315" s="114">
        <f t="shared" si="872"/>
        <v>0</v>
      </c>
      <c r="T315" s="93">
        <f t="shared" si="873"/>
        <v>1</v>
      </c>
      <c r="U315" t="s">
        <v>0</v>
      </c>
      <c r="V315" s="79"/>
      <c r="W315" s="76"/>
      <c r="X315" s="76"/>
      <c r="Y315" s="76"/>
      <c r="Z315" s="76"/>
      <c r="AA315" s="80"/>
      <c r="AB315" s="79"/>
      <c r="AC315" s="76"/>
      <c r="AD315" s="76"/>
      <c r="AE315" s="76"/>
      <c r="AF315" s="76"/>
      <c r="AG315" s="80"/>
      <c r="AH315" s="79"/>
      <c r="AI315" s="76"/>
      <c r="AJ315" s="76">
        <v>5</v>
      </c>
      <c r="AK315" s="76"/>
      <c r="AL315" s="76"/>
      <c r="AM315" s="80"/>
      <c r="AN315" s="79"/>
      <c r="AO315" s="76"/>
      <c r="AP315" s="76"/>
      <c r="AQ315" s="76"/>
      <c r="AR315" s="76"/>
      <c r="AS315" s="80"/>
      <c r="AT315" s="79"/>
      <c r="AU315" s="76"/>
      <c r="AV315" s="76"/>
      <c r="AW315" s="76"/>
      <c r="AX315" s="76"/>
      <c r="AY315" s="80"/>
      <c r="AZ315" s="79"/>
      <c r="BA315" s="76"/>
      <c r="BB315" s="76"/>
      <c r="BC315" s="76"/>
      <c r="BD315" s="76"/>
      <c r="BE315" s="80"/>
      <c r="BF315" s="79"/>
      <c r="BG315" s="76"/>
      <c r="BH315" s="76"/>
      <c r="BI315" s="76"/>
      <c r="BJ315" s="76"/>
      <c r="BK315" s="80"/>
      <c r="BM315" s="125">
        <f t="shared" si="874"/>
        <v>0</v>
      </c>
      <c r="BN315" s="126">
        <f t="shared" si="875"/>
        <v>0</v>
      </c>
      <c r="BO315" s="126">
        <f t="shared" si="876"/>
        <v>5</v>
      </c>
      <c r="BP315" s="126">
        <f t="shared" si="877"/>
        <v>0</v>
      </c>
      <c r="BQ315" s="126">
        <f>SUM(AT315:AY315)</f>
        <v>0</v>
      </c>
      <c r="BR315" s="126">
        <f t="shared" si="878"/>
        <v>0</v>
      </c>
      <c r="BS315" s="127">
        <f t="shared" si="879"/>
        <v>0</v>
      </c>
      <c r="BT315" s="74"/>
      <c r="BU315" s="125">
        <f t="shared" si="880"/>
        <v>0</v>
      </c>
      <c r="BV315" s="126">
        <f t="shared" si="881"/>
        <v>0</v>
      </c>
      <c r="BW315" s="126">
        <f t="shared" si="882"/>
        <v>7.5</v>
      </c>
      <c r="BX315" s="126">
        <f t="shared" si="883"/>
        <v>0</v>
      </c>
      <c r="BY315" s="126">
        <f t="shared" si="884"/>
        <v>0</v>
      </c>
      <c r="BZ315" s="126">
        <f t="shared" si="884"/>
        <v>0</v>
      </c>
      <c r="CA315" s="126">
        <f t="shared" si="884"/>
        <v>0</v>
      </c>
    </row>
    <row r="316" spans="1:79">
      <c r="A316" s="147" t="str">
        <f t="shared" si="755"/>
        <v>D</v>
      </c>
      <c r="B316" s="148">
        <f t="shared" si="756"/>
        <v>70000</v>
      </c>
      <c r="C316" s="149" t="s">
        <v>243</v>
      </c>
      <c r="D316" s="150" t="s">
        <v>0</v>
      </c>
      <c r="E316" s="150" t="s">
        <v>0</v>
      </c>
      <c r="F316" s="145" t="s">
        <v>180</v>
      </c>
      <c r="G316" s="150" t="s">
        <v>0</v>
      </c>
      <c r="H316" s="150" t="s">
        <v>0</v>
      </c>
      <c r="I316" s="150" t="s">
        <v>0</v>
      </c>
      <c r="J316" s="151" t="s">
        <v>0</v>
      </c>
      <c r="K316" s="13">
        <v>2</v>
      </c>
      <c r="L316" s="12" t="s">
        <v>32</v>
      </c>
      <c r="M316" s="13">
        <v>2.5</v>
      </c>
      <c r="N316" s="13">
        <v>0</v>
      </c>
      <c r="O316" s="14">
        <v>2.5</v>
      </c>
      <c r="P316" s="113">
        <f t="shared" si="869"/>
        <v>2</v>
      </c>
      <c r="Q316" s="114">
        <f t="shared" si="870"/>
        <v>0</v>
      </c>
      <c r="R316" s="114">
        <f t="shared" si="871"/>
        <v>2.5</v>
      </c>
      <c r="S316" s="114">
        <f t="shared" si="872"/>
        <v>0</v>
      </c>
      <c r="T316" s="93">
        <f t="shared" si="873"/>
        <v>1</v>
      </c>
      <c r="U316" t="s">
        <v>0</v>
      </c>
      <c r="V316" s="79"/>
      <c r="W316" s="76"/>
      <c r="X316" s="76"/>
      <c r="Y316" s="76"/>
      <c r="Z316" s="76"/>
      <c r="AA316" s="80"/>
      <c r="AB316" s="79"/>
      <c r="AC316" s="76"/>
      <c r="AD316" s="76"/>
      <c r="AE316" s="76"/>
      <c r="AF316" s="76"/>
      <c r="AG316" s="80"/>
      <c r="AH316" s="79"/>
      <c r="AI316" s="76"/>
      <c r="AJ316" s="76">
        <v>2</v>
      </c>
      <c r="AK316" s="76"/>
      <c r="AL316" s="76"/>
      <c r="AM316" s="80"/>
      <c r="AN316" s="79"/>
      <c r="AO316" s="76"/>
      <c r="AP316" s="76"/>
      <c r="AQ316" s="76"/>
      <c r="AR316" s="76"/>
      <c r="AS316" s="80"/>
      <c r="AT316" s="79"/>
      <c r="AU316" s="76"/>
      <c r="AV316" s="76"/>
      <c r="AW316" s="76"/>
      <c r="AX316" s="76"/>
      <c r="AY316" s="80"/>
      <c r="AZ316" s="79"/>
      <c r="BA316" s="76"/>
      <c r="BB316" s="76"/>
      <c r="BC316" s="76"/>
      <c r="BD316" s="76"/>
      <c r="BE316" s="80"/>
      <c r="BF316" s="79"/>
      <c r="BG316" s="76"/>
      <c r="BH316" s="76"/>
      <c r="BI316" s="76"/>
      <c r="BJ316" s="76"/>
      <c r="BK316" s="80"/>
      <c r="BM316" s="125">
        <f t="shared" si="874"/>
        <v>0</v>
      </c>
      <c r="BN316" s="126">
        <f t="shared" si="875"/>
        <v>0</v>
      </c>
      <c r="BO316" s="126">
        <f t="shared" si="876"/>
        <v>2</v>
      </c>
      <c r="BP316" s="126">
        <f t="shared" si="877"/>
        <v>0</v>
      </c>
      <c r="BQ316" s="126">
        <f>SUM(AT316:AY316)</f>
        <v>0</v>
      </c>
      <c r="BR316" s="126">
        <f t="shared" si="878"/>
        <v>0</v>
      </c>
      <c r="BS316" s="127">
        <f t="shared" si="879"/>
        <v>0</v>
      </c>
      <c r="BT316" s="74"/>
      <c r="BU316" s="125">
        <f t="shared" si="880"/>
        <v>0</v>
      </c>
      <c r="BV316" s="126">
        <f t="shared" si="881"/>
        <v>0</v>
      </c>
      <c r="BW316" s="126">
        <f t="shared" si="882"/>
        <v>2.5</v>
      </c>
      <c r="BX316" s="126">
        <f t="shared" si="883"/>
        <v>0</v>
      </c>
      <c r="BY316" s="126">
        <f t="shared" si="884"/>
        <v>0</v>
      </c>
      <c r="BZ316" s="126">
        <f t="shared" si="884"/>
        <v>0</v>
      </c>
      <c r="CA316" s="126">
        <f t="shared" si="884"/>
        <v>0</v>
      </c>
    </row>
    <row r="317" spans="1:79">
      <c r="A317" s="147" t="str">
        <f t="shared" si="755"/>
        <v>D</v>
      </c>
      <c r="B317" s="148">
        <f t="shared" si="756"/>
        <v>70000</v>
      </c>
      <c r="C317" s="149" t="s">
        <v>243</v>
      </c>
      <c r="D317" s="150" t="s">
        <v>0</v>
      </c>
      <c r="E317" s="150" t="s">
        <v>0</v>
      </c>
      <c r="F317" s="145" t="s">
        <v>223</v>
      </c>
      <c r="G317" s="150" t="s">
        <v>0</v>
      </c>
      <c r="H317" s="150" t="s">
        <v>0</v>
      </c>
      <c r="I317" s="150" t="s">
        <v>0</v>
      </c>
      <c r="J317" s="151" t="s">
        <v>0</v>
      </c>
      <c r="K317" s="13">
        <v>1</v>
      </c>
      <c r="L317" s="12" t="s">
        <v>32</v>
      </c>
      <c r="M317" s="13">
        <v>0.75</v>
      </c>
      <c r="N317" s="13">
        <v>0</v>
      </c>
      <c r="O317" s="14">
        <v>0.75</v>
      </c>
      <c r="P317" s="113">
        <f t="shared" si="869"/>
        <v>0</v>
      </c>
      <c r="Q317" s="114">
        <f t="shared" si="870"/>
        <v>1</v>
      </c>
      <c r="R317" s="114">
        <f t="shared" si="871"/>
        <v>0</v>
      </c>
      <c r="S317" s="114">
        <f t="shared" si="872"/>
        <v>0.75</v>
      </c>
      <c r="T317" s="93">
        <f t="shared" si="873"/>
        <v>0</v>
      </c>
      <c r="U317" t="s">
        <v>0</v>
      </c>
      <c r="V317" s="79"/>
      <c r="W317" s="76"/>
      <c r="X317" s="76"/>
      <c r="Y317" s="76"/>
      <c r="Z317" s="76"/>
      <c r="AA317" s="80"/>
      <c r="AB317" s="79"/>
      <c r="AC317" s="76"/>
      <c r="AD317" s="76"/>
      <c r="AE317" s="76"/>
      <c r="AF317" s="76"/>
      <c r="AG317" s="80"/>
      <c r="AH317" s="79"/>
      <c r="AI317" s="76"/>
      <c r="AJ317" s="76"/>
      <c r="AK317" s="76"/>
      <c r="AL317" s="76"/>
      <c r="AM317" s="80"/>
      <c r="AN317" s="79"/>
      <c r="AO317" s="76"/>
      <c r="AP317" s="76"/>
      <c r="AQ317" s="76"/>
      <c r="AR317" s="76"/>
      <c r="AS317" s="80"/>
      <c r="AT317" s="79"/>
      <c r="AU317" s="76"/>
      <c r="AV317" s="76"/>
      <c r="AW317" s="76"/>
      <c r="AX317" s="76"/>
      <c r="AY317" s="80"/>
      <c r="AZ317" s="79"/>
      <c r="BA317" s="76"/>
      <c r="BB317" s="76"/>
      <c r="BC317" s="76"/>
      <c r="BD317" s="76"/>
      <c r="BE317" s="80"/>
      <c r="BF317" s="79"/>
      <c r="BG317" s="76"/>
      <c r="BH317" s="76"/>
      <c r="BI317" s="76"/>
      <c r="BJ317" s="76"/>
      <c r="BK317" s="80"/>
      <c r="BM317" s="125">
        <f t="shared" si="874"/>
        <v>0</v>
      </c>
      <c r="BN317" s="126">
        <f t="shared" si="875"/>
        <v>0</v>
      </c>
      <c r="BO317" s="126">
        <f t="shared" si="876"/>
        <v>0</v>
      </c>
      <c r="BP317" s="126">
        <f t="shared" si="877"/>
        <v>0</v>
      </c>
      <c r="BQ317" s="126">
        <f>SUM(AT317:AY317)</f>
        <v>0</v>
      </c>
      <c r="BR317" s="126">
        <f t="shared" si="878"/>
        <v>0</v>
      </c>
      <c r="BS317" s="127">
        <f t="shared" si="879"/>
        <v>0</v>
      </c>
      <c r="BT317" s="74"/>
      <c r="BU317" s="125">
        <f t="shared" si="880"/>
        <v>0</v>
      </c>
      <c r="BV317" s="126">
        <f t="shared" si="881"/>
        <v>0</v>
      </c>
      <c r="BW317" s="126">
        <f t="shared" si="882"/>
        <v>0</v>
      </c>
      <c r="BX317" s="126">
        <f t="shared" si="883"/>
        <v>0</v>
      </c>
      <c r="BY317" s="126">
        <f t="shared" si="884"/>
        <v>0</v>
      </c>
      <c r="BZ317" s="126">
        <f t="shared" si="884"/>
        <v>0</v>
      </c>
      <c r="CA317" s="126">
        <f t="shared" si="884"/>
        <v>0</v>
      </c>
    </row>
    <row r="318" spans="1:79">
      <c r="A318" s="147" t="str">
        <f t="shared" si="755"/>
        <v>D</v>
      </c>
      <c r="B318" s="148">
        <f t="shared" si="756"/>
        <v>70000</v>
      </c>
      <c r="C318" s="149" t="s">
        <v>243</v>
      </c>
      <c r="D318" s="150" t="s">
        <v>0</v>
      </c>
      <c r="E318" s="150" t="s">
        <v>0</v>
      </c>
      <c r="F318" s="145" t="s">
        <v>171</v>
      </c>
      <c r="G318" s="150" t="s">
        <v>0</v>
      </c>
      <c r="H318" s="150" t="s">
        <v>0</v>
      </c>
      <c r="I318" s="150" t="s">
        <v>0</v>
      </c>
      <c r="J318" s="151" t="s">
        <v>0</v>
      </c>
      <c r="K318" s="13">
        <v>61</v>
      </c>
      <c r="L318" s="12" t="s">
        <v>32</v>
      </c>
      <c r="M318" s="13">
        <v>12.2</v>
      </c>
      <c r="N318" s="13">
        <v>0</v>
      </c>
      <c r="O318" s="14">
        <v>12.2</v>
      </c>
      <c r="P318" s="113">
        <f t="shared" si="869"/>
        <v>0</v>
      </c>
      <c r="Q318" s="114">
        <f t="shared" si="870"/>
        <v>61</v>
      </c>
      <c r="R318" s="114">
        <f t="shared" si="871"/>
        <v>0</v>
      </c>
      <c r="S318" s="114">
        <f t="shared" si="872"/>
        <v>12.2</v>
      </c>
      <c r="T318" s="93">
        <f t="shared" si="873"/>
        <v>0</v>
      </c>
      <c r="U318" t="s">
        <v>0</v>
      </c>
      <c r="V318" s="79"/>
      <c r="W318" s="76"/>
      <c r="X318" s="76"/>
      <c r="Y318" s="76"/>
      <c r="Z318" s="76"/>
      <c r="AA318" s="80"/>
      <c r="AB318" s="79"/>
      <c r="AC318" s="76"/>
      <c r="AD318" s="76"/>
      <c r="AE318" s="76"/>
      <c r="AF318" s="76"/>
      <c r="AG318" s="80"/>
      <c r="AH318" s="79"/>
      <c r="AI318" s="76"/>
      <c r="AJ318" s="76"/>
      <c r="AK318" s="76"/>
      <c r="AL318" s="76"/>
      <c r="AM318" s="80"/>
      <c r="AN318" s="79"/>
      <c r="AO318" s="76"/>
      <c r="AP318" s="76"/>
      <c r="AQ318" s="76"/>
      <c r="AR318" s="76"/>
      <c r="AS318" s="80"/>
      <c r="AT318" s="79"/>
      <c r="AU318" s="76"/>
      <c r="AV318" s="76"/>
      <c r="AW318" s="76"/>
      <c r="AX318" s="76"/>
      <c r="AY318" s="80"/>
      <c r="AZ318" s="79"/>
      <c r="BA318" s="76"/>
      <c r="BB318" s="76"/>
      <c r="BC318" s="76"/>
      <c r="BD318" s="76"/>
      <c r="BE318" s="80"/>
      <c r="BF318" s="79"/>
      <c r="BG318" s="76"/>
      <c r="BH318" s="76"/>
      <c r="BI318" s="76"/>
      <c r="BJ318" s="76"/>
      <c r="BK318" s="80"/>
      <c r="BM318" s="125">
        <f t="shared" si="874"/>
        <v>0</v>
      </c>
      <c r="BN318" s="126">
        <f t="shared" si="875"/>
        <v>0</v>
      </c>
      <c r="BO318" s="126">
        <f t="shared" si="876"/>
        <v>0</v>
      </c>
      <c r="BP318" s="126">
        <f t="shared" si="877"/>
        <v>0</v>
      </c>
      <c r="BQ318" s="126">
        <f>SUM(AT318:AY318)</f>
        <v>0</v>
      </c>
      <c r="BR318" s="126">
        <f t="shared" si="878"/>
        <v>0</v>
      </c>
      <c r="BS318" s="127">
        <f t="shared" si="879"/>
        <v>0</v>
      </c>
      <c r="BT318" s="74"/>
      <c r="BU318" s="125">
        <f t="shared" si="880"/>
        <v>0</v>
      </c>
      <c r="BV318" s="126">
        <f t="shared" si="881"/>
        <v>0</v>
      </c>
      <c r="BW318" s="126">
        <f t="shared" si="882"/>
        <v>0</v>
      </c>
      <c r="BX318" s="126">
        <f t="shared" si="883"/>
        <v>0</v>
      </c>
      <c r="BY318" s="126">
        <f t="shared" si="884"/>
        <v>0</v>
      </c>
      <c r="BZ318" s="126">
        <f t="shared" si="884"/>
        <v>0</v>
      </c>
      <c r="CA318" s="126">
        <f t="shared" si="884"/>
        <v>0</v>
      </c>
    </row>
    <row r="319" spans="1:79">
      <c r="A319" s="147" t="str">
        <f t="shared" si="755"/>
        <v>D</v>
      </c>
      <c r="B319" s="148">
        <f t="shared" si="756"/>
        <v>70000</v>
      </c>
      <c r="C319" s="149" t="s">
        <v>243</v>
      </c>
      <c r="D319" s="150" t="s">
        <v>0</v>
      </c>
      <c r="E319" s="150" t="s">
        <v>0</v>
      </c>
      <c r="F319" s="145" t="s">
        <v>224</v>
      </c>
      <c r="G319" s="150" t="s">
        <v>0</v>
      </c>
      <c r="H319" s="150" t="s">
        <v>0</v>
      </c>
      <c r="I319" s="150" t="s">
        <v>0</v>
      </c>
      <c r="J319" s="151" t="s">
        <v>0</v>
      </c>
      <c r="K319" s="13">
        <v>2</v>
      </c>
      <c r="L319" s="12" t="s">
        <v>32</v>
      </c>
      <c r="M319" s="13">
        <v>6</v>
      </c>
      <c r="N319" s="13">
        <v>0</v>
      </c>
      <c r="O319" s="14">
        <v>6</v>
      </c>
      <c r="P319" s="113">
        <f t="shared" si="869"/>
        <v>2</v>
      </c>
      <c r="Q319" s="114">
        <f t="shared" si="870"/>
        <v>0</v>
      </c>
      <c r="R319" s="114">
        <f t="shared" si="871"/>
        <v>6</v>
      </c>
      <c r="S319" s="114">
        <f t="shared" si="872"/>
        <v>0</v>
      </c>
      <c r="T319" s="93">
        <f t="shared" si="873"/>
        <v>1</v>
      </c>
      <c r="U319" t="s">
        <v>0</v>
      </c>
      <c r="V319" s="79"/>
      <c r="W319" s="76"/>
      <c r="X319" s="76"/>
      <c r="Y319" s="76"/>
      <c r="Z319" s="76"/>
      <c r="AA319" s="80"/>
      <c r="AB319" s="79"/>
      <c r="AC319" s="76"/>
      <c r="AD319" s="76"/>
      <c r="AE319" s="76">
        <v>1</v>
      </c>
      <c r="AF319" s="76"/>
      <c r="AG319" s="80"/>
      <c r="AH319" s="79"/>
      <c r="AI319" s="76"/>
      <c r="AJ319" s="76">
        <v>1</v>
      </c>
      <c r="AK319" s="76"/>
      <c r="AL319" s="76"/>
      <c r="AM319" s="80"/>
      <c r="AN319" s="79"/>
      <c r="AO319" s="76"/>
      <c r="AP319" s="76"/>
      <c r="AQ319" s="76"/>
      <c r="AR319" s="76"/>
      <c r="AS319" s="80"/>
      <c r="AT319" s="79"/>
      <c r="AU319" s="76"/>
      <c r="AV319" s="76"/>
      <c r="AW319" s="76"/>
      <c r="AX319" s="76"/>
      <c r="AY319" s="80"/>
      <c r="AZ319" s="79"/>
      <c r="BA319" s="76"/>
      <c r="BB319" s="76"/>
      <c r="BC319" s="76"/>
      <c r="BD319" s="76"/>
      <c r="BE319" s="80"/>
      <c r="BF319" s="79"/>
      <c r="BG319" s="76"/>
      <c r="BH319" s="76"/>
      <c r="BI319" s="76"/>
      <c r="BJ319" s="76"/>
      <c r="BK319" s="80"/>
      <c r="BM319" s="125">
        <f t="shared" si="874"/>
        <v>0</v>
      </c>
      <c r="BN319" s="126">
        <f t="shared" si="875"/>
        <v>1</v>
      </c>
      <c r="BO319" s="126">
        <f t="shared" si="876"/>
        <v>1</v>
      </c>
      <c r="BP319" s="126">
        <f t="shared" si="877"/>
        <v>0</v>
      </c>
      <c r="BQ319" s="126">
        <f>SUM(AT319:AY319)</f>
        <v>0</v>
      </c>
      <c r="BR319" s="126">
        <f t="shared" si="878"/>
        <v>0</v>
      </c>
      <c r="BS319" s="127">
        <f t="shared" si="879"/>
        <v>0</v>
      </c>
      <c r="BT319" s="74"/>
      <c r="BU319" s="125">
        <f t="shared" si="880"/>
        <v>0</v>
      </c>
      <c r="BV319" s="126">
        <f t="shared" si="881"/>
        <v>3</v>
      </c>
      <c r="BW319" s="126">
        <f t="shared" si="882"/>
        <v>3</v>
      </c>
      <c r="BX319" s="126">
        <f t="shared" si="883"/>
        <v>0</v>
      </c>
      <c r="BY319" s="126">
        <f t="shared" si="884"/>
        <v>0</v>
      </c>
      <c r="BZ319" s="126">
        <f t="shared" si="884"/>
        <v>0</v>
      </c>
      <c r="CA319" s="126">
        <f t="shared" si="884"/>
        <v>0</v>
      </c>
    </row>
    <row r="320" spans="1:79">
      <c r="A320" s="147" t="str">
        <f t="shared" si="755"/>
        <v>D</v>
      </c>
      <c r="B320" s="148">
        <f t="shared" si="756"/>
        <v>70000</v>
      </c>
      <c r="C320" s="149" t="s">
        <v>243</v>
      </c>
      <c r="D320" s="150" t="s">
        <v>0</v>
      </c>
      <c r="E320" s="150" t="s">
        <v>0</v>
      </c>
      <c r="F320" s="145" t="s">
        <v>181</v>
      </c>
      <c r="G320" s="150" t="s">
        <v>0</v>
      </c>
      <c r="H320" s="150" t="s">
        <v>0</v>
      </c>
      <c r="I320" s="150" t="s">
        <v>0</v>
      </c>
      <c r="J320" s="151" t="s">
        <v>0</v>
      </c>
      <c r="K320" s="13">
        <v>2</v>
      </c>
      <c r="L320" s="12" t="s">
        <v>32</v>
      </c>
      <c r="M320" s="13">
        <v>4</v>
      </c>
      <c r="N320" s="13">
        <v>0</v>
      </c>
      <c r="O320" s="14">
        <v>4</v>
      </c>
      <c r="P320" s="113">
        <f t="shared" si="869"/>
        <v>2</v>
      </c>
      <c r="Q320" s="114">
        <f t="shared" si="870"/>
        <v>0</v>
      </c>
      <c r="R320" s="114">
        <f t="shared" si="871"/>
        <v>4</v>
      </c>
      <c r="S320" s="114">
        <f t="shared" si="872"/>
        <v>0</v>
      </c>
      <c r="T320" s="93">
        <f t="shared" si="873"/>
        <v>1</v>
      </c>
      <c r="U320" t="s">
        <v>0</v>
      </c>
      <c r="V320" s="79"/>
      <c r="W320" s="76"/>
      <c r="X320" s="76"/>
      <c r="Y320" s="76"/>
      <c r="Z320" s="76"/>
      <c r="AA320" s="80"/>
      <c r="AB320" s="79"/>
      <c r="AC320" s="76"/>
      <c r="AD320" s="76"/>
      <c r="AE320" s="76">
        <v>2</v>
      </c>
      <c r="AF320" s="76"/>
      <c r="AG320" s="80"/>
      <c r="AH320" s="79"/>
      <c r="AI320" s="76"/>
      <c r="AJ320" s="76"/>
      <c r="AK320" s="76"/>
      <c r="AL320" s="76"/>
      <c r="AM320" s="80"/>
      <c r="AN320" s="79"/>
      <c r="AO320" s="76"/>
      <c r="AP320" s="76"/>
      <c r="AQ320" s="76"/>
      <c r="AR320" s="76"/>
      <c r="AS320" s="80"/>
      <c r="AT320" s="79"/>
      <c r="AU320" s="76"/>
      <c r="AV320" s="76"/>
      <c r="AW320" s="76"/>
      <c r="AX320" s="76"/>
      <c r="AY320" s="80"/>
      <c r="AZ320" s="79"/>
      <c r="BA320" s="76"/>
      <c r="BB320" s="76"/>
      <c r="BC320" s="76"/>
      <c r="BD320" s="76"/>
      <c r="BE320" s="80"/>
      <c r="BF320" s="79"/>
      <c r="BG320" s="76"/>
      <c r="BH320" s="76"/>
      <c r="BI320" s="76"/>
      <c r="BJ320" s="76"/>
      <c r="BK320" s="80"/>
      <c r="BM320" s="125">
        <f t="shared" si="874"/>
        <v>0</v>
      </c>
      <c r="BN320" s="126">
        <f t="shared" si="875"/>
        <v>2</v>
      </c>
      <c r="BO320" s="126">
        <f t="shared" si="876"/>
        <v>0</v>
      </c>
      <c r="BP320" s="126">
        <f t="shared" si="877"/>
        <v>0</v>
      </c>
      <c r="BQ320" s="126">
        <f>SUM(AT320:AY320)</f>
        <v>0</v>
      </c>
      <c r="BR320" s="126">
        <f t="shared" si="878"/>
        <v>0</v>
      </c>
      <c r="BS320" s="127">
        <f t="shared" si="879"/>
        <v>0</v>
      </c>
      <c r="BT320" s="74"/>
      <c r="BU320" s="125">
        <f t="shared" si="880"/>
        <v>0</v>
      </c>
      <c r="BV320" s="126">
        <f t="shared" si="881"/>
        <v>4</v>
      </c>
      <c r="BW320" s="126">
        <f t="shared" si="882"/>
        <v>0</v>
      </c>
      <c r="BX320" s="126">
        <f t="shared" si="883"/>
        <v>0</v>
      </c>
      <c r="BY320" s="126">
        <f t="shared" si="884"/>
        <v>0</v>
      </c>
      <c r="BZ320" s="126">
        <f t="shared" si="884"/>
        <v>0</v>
      </c>
      <c r="CA320" s="126">
        <f t="shared" si="884"/>
        <v>0</v>
      </c>
    </row>
    <row r="321" spans="1:79" ht="15.75">
      <c r="A321" s="152" t="str">
        <f t="shared" si="755"/>
        <v>P</v>
      </c>
      <c r="B321" s="153">
        <f t="shared" si="756"/>
        <v>70000</v>
      </c>
      <c r="C321" s="154" t="s">
        <v>245</v>
      </c>
      <c r="D321" s="155" t="s">
        <v>0</v>
      </c>
      <c r="E321" s="155" t="s">
        <v>0</v>
      </c>
      <c r="F321" s="156" t="s">
        <v>246</v>
      </c>
      <c r="G321" s="155" t="s">
        <v>0</v>
      </c>
      <c r="H321" s="155" t="s">
        <v>0</v>
      </c>
      <c r="I321" s="155" t="s">
        <v>0</v>
      </c>
      <c r="J321" s="157" t="s">
        <v>54</v>
      </c>
      <c r="K321" s="9">
        <v>20</v>
      </c>
      <c r="L321" s="8" t="s">
        <v>56</v>
      </c>
      <c r="M321" s="9">
        <v>7</v>
      </c>
      <c r="N321" s="9">
        <v>0</v>
      </c>
      <c r="O321" s="10">
        <v>7</v>
      </c>
      <c r="P321" s="111"/>
      <c r="Q321" s="112"/>
      <c r="R321" s="112">
        <f>SUMIFS(R322:R$415,$C322:$C$415,$C321)</f>
        <v>7</v>
      </c>
      <c r="S321" s="112">
        <f>SUMIFS(S322:S$415,$C322:$C$415,$C321)</f>
        <v>0</v>
      </c>
      <c r="T321" s="92">
        <f>R321/O321</f>
        <v>1</v>
      </c>
      <c r="V321" s="77"/>
      <c r="W321" s="75"/>
      <c r="X321" s="75"/>
      <c r="Y321" s="75"/>
      <c r="Z321" s="75"/>
      <c r="AA321" s="78"/>
      <c r="AB321" s="77"/>
      <c r="AC321" s="75"/>
      <c r="AD321" s="75"/>
      <c r="AE321" s="75"/>
      <c r="AF321" s="75"/>
      <c r="AG321" s="78"/>
      <c r="AH321" s="77"/>
      <c r="AI321" s="75"/>
      <c r="AJ321" s="75"/>
      <c r="AK321" s="75"/>
      <c r="AL321" s="75"/>
      <c r="AM321" s="78"/>
      <c r="AN321" s="77"/>
      <c r="AO321" s="75"/>
      <c r="AP321" s="75"/>
      <c r="AQ321" s="75"/>
      <c r="AR321" s="75"/>
      <c r="AS321" s="78"/>
      <c r="AT321" s="77"/>
      <c r="AU321" s="75"/>
      <c r="AV321" s="75"/>
      <c r="AW321" s="75"/>
      <c r="AX321" s="75"/>
      <c r="AY321" s="78"/>
      <c r="AZ321" s="77"/>
      <c r="BA321" s="75"/>
      <c r="BB321" s="75"/>
      <c r="BC321" s="75"/>
      <c r="BD321" s="75"/>
      <c r="BE321" s="78"/>
      <c r="BF321" s="77"/>
      <c r="BG321" s="75"/>
      <c r="BH321" s="75"/>
      <c r="BI321" s="75"/>
      <c r="BJ321" s="75"/>
      <c r="BK321" s="78"/>
      <c r="BM321" s="122"/>
      <c r="BN321" s="123"/>
      <c r="BO321" s="123"/>
      <c r="BP321" s="123"/>
      <c r="BQ321" s="123"/>
      <c r="BR321" s="123"/>
      <c r="BS321" s="124"/>
      <c r="BT321" s="74"/>
      <c r="BU321" s="122"/>
      <c r="BV321" s="123"/>
      <c r="BW321" s="123"/>
      <c r="BX321" s="123"/>
      <c r="BY321" s="123"/>
      <c r="BZ321" s="123"/>
      <c r="CA321" s="123"/>
    </row>
    <row r="322" spans="1:79">
      <c r="A322" s="147" t="str">
        <f t="shared" si="755"/>
        <v>D</v>
      </c>
      <c r="B322" s="148">
        <f t="shared" si="756"/>
        <v>70000</v>
      </c>
      <c r="C322" s="149" t="s">
        <v>245</v>
      </c>
      <c r="D322" s="150" t="s">
        <v>0</v>
      </c>
      <c r="E322" s="150" t="s">
        <v>0</v>
      </c>
      <c r="F322" s="145" t="s">
        <v>222</v>
      </c>
      <c r="G322" s="150" t="s">
        <v>0</v>
      </c>
      <c r="H322" s="150" t="s">
        <v>0</v>
      </c>
      <c r="I322" s="150" t="s">
        <v>0</v>
      </c>
      <c r="J322" s="151" t="s">
        <v>54</v>
      </c>
      <c r="K322" s="13">
        <v>20</v>
      </c>
      <c r="L322" s="12" t="s">
        <v>56</v>
      </c>
      <c r="M322" s="13">
        <v>4</v>
      </c>
      <c r="N322" s="13">
        <v>0</v>
      </c>
      <c r="O322" s="14">
        <v>4</v>
      </c>
      <c r="P322" s="113">
        <f t="shared" ref="P322:P323" si="885">SUM(BM322:BS322)</f>
        <v>20</v>
      </c>
      <c r="Q322" s="114">
        <f t="shared" ref="Q322:Q323" si="886">K322-P322</f>
        <v>0</v>
      </c>
      <c r="R322" s="114">
        <f t="shared" ref="R322:R323" si="887">SUM(BU322:CA322)</f>
        <v>4</v>
      </c>
      <c r="S322" s="114">
        <f t="shared" ref="S322:S323" si="888">O322-R322</f>
        <v>0</v>
      </c>
      <c r="T322" s="93">
        <f t="shared" ref="T322:T323" si="889">R322/O322</f>
        <v>1</v>
      </c>
      <c r="U322" t="s">
        <v>0</v>
      </c>
      <c r="V322" s="79"/>
      <c r="W322" s="76"/>
      <c r="X322" s="76"/>
      <c r="Y322" s="76"/>
      <c r="Z322" s="76"/>
      <c r="AA322" s="80"/>
      <c r="AB322" s="79"/>
      <c r="AC322" s="76"/>
      <c r="AD322" s="76"/>
      <c r="AE322" s="76"/>
      <c r="AF322" s="76"/>
      <c r="AG322" s="80"/>
      <c r="AH322" s="79"/>
      <c r="AI322" s="76"/>
      <c r="AJ322" s="76"/>
      <c r="AK322" s="76"/>
      <c r="AL322" s="76"/>
      <c r="AM322" s="80"/>
      <c r="AN322" s="79"/>
      <c r="AO322" s="76"/>
      <c r="AP322" s="76"/>
      <c r="AQ322" s="76"/>
      <c r="AR322" s="76"/>
      <c r="AS322" s="80"/>
      <c r="AT322" s="79"/>
      <c r="AU322" s="76"/>
      <c r="AV322" s="76"/>
      <c r="AW322" s="76">
        <v>20</v>
      </c>
      <c r="AX322" s="76"/>
      <c r="AY322" s="80"/>
      <c r="AZ322" s="79"/>
      <c r="BA322" s="76"/>
      <c r="BB322" s="76"/>
      <c r="BC322" s="76"/>
      <c r="BD322" s="76"/>
      <c r="BE322" s="80"/>
      <c r="BF322" s="79"/>
      <c r="BG322" s="76"/>
      <c r="BH322" s="76"/>
      <c r="BI322" s="76"/>
      <c r="BJ322" s="76"/>
      <c r="BK322" s="80"/>
      <c r="BM322" s="125">
        <f t="shared" ref="BM322:BM323" si="890">SUM(V322:AA322)</f>
        <v>0</v>
      </c>
      <c r="BN322" s="126">
        <f t="shared" ref="BN322:BN323" si="891">SUM(AB322:AG322)</f>
        <v>0</v>
      </c>
      <c r="BO322" s="126">
        <f t="shared" ref="BO322:BO323" si="892">SUM(AH322:AM322)</f>
        <v>0</v>
      </c>
      <c r="BP322" s="126">
        <f t="shared" ref="BP322:BP323" si="893">SUM(AN322:AS322)</f>
        <v>0</v>
      </c>
      <c r="BQ322" s="126">
        <f>SUM(AT322:AY322)</f>
        <v>20</v>
      </c>
      <c r="BR322" s="126">
        <f t="shared" ref="BR322:BS323" si="894">SUM(AZ322:BE322)</f>
        <v>0</v>
      </c>
      <c r="BS322" s="127">
        <f t="shared" ref="BS322:BS323" si="895">SUM(BF322:BK322)</f>
        <v>0</v>
      </c>
      <c r="BT322" s="74"/>
      <c r="BU322" s="125">
        <f t="shared" ref="BU322:BU323" si="896">(BM322/$K322)*$O322</f>
        <v>0</v>
      </c>
      <c r="BV322" s="126">
        <f t="shared" ref="BV322:BV323" si="897">(BN322/$K322)*$O322</f>
        <v>0</v>
      </c>
      <c r="BW322" s="126">
        <f t="shared" ref="BW322:BW323" si="898">(BO322/$K322)*$O322</f>
        <v>0</v>
      </c>
      <c r="BX322" s="126">
        <f t="shared" ref="BX322:BX323" si="899">(BP322/$K322)*$O322</f>
        <v>0</v>
      </c>
      <c r="BY322" s="126">
        <f t="shared" ref="BY322:CA323" si="900">(BQ322/$K322)*$O322</f>
        <v>4</v>
      </c>
      <c r="BZ322" s="126">
        <f t="shared" si="900"/>
        <v>0</v>
      </c>
      <c r="CA322" s="126">
        <f t="shared" si="900"/>
        <v>0</v>
      </c>
    </row>
    <row r="323" spans="1:79">
      <c r="A323" s="147" t="str">
        <f t="shared" si="755"/>
        <v>D</v>
      </c>
      <c r="B323" s="148">
        <f t="shared" si="756"/>
        <v>70000</v>
      </c>
      <c r="C323" s="149" t="s">
        <v>245</v>
      </c>
      <c r="D323" s="150" t="s">
        <v>0</v>
      </c>
      <c r="E323" s="150" t="s">
        <v>0</v>
      </c>
      <c r="F323" s="145" t="s">
        <v>223</v>
      </c>
      <c r="G323" s="150" t="s">
        <v>0</v>
      </c>
      <c r="H323" s="150" t="s">
        <v>0</v>
      </c>
      <c r="I323" s="150" t="s">
        <v>0</v>
      </c>
      <c r="J323" s="151" t="s">
        <v>54</v>
      </c>
      <c r="K323" s="13">
        <v>4</v>
      </c>
      <c r="L323" s="12" t="s">
        <v>32</v>
      </c>
      <c r="M323" s="13">
        <v>3</v>
      </c>
      <c r="N323" s="13">
        <v>0</v>
      </c>
      <c r="O323" s="14">
        <v>3</v>
      </c>
      <c r="P323" s="113">
        <f t="shared" si="885"/>
        <v>4</v>
      </c>
      <c r="Q323" s="114">
        <f t="shared" si="886"/>
        <v>0</v>
      </c>
      <c r="R323" s="114">
        <f t="shared" si="887"/>
        <v>3</v>
      </c>
      <c r="S323" s="114">
        <f t="shared" si="888"/>
        <v>0</v>
      </c>
      <c r="T323" s="93">
        <f t="shared" si="889"/>
        <v>1</v>
      </c>
      <c r="U323" t="s">
        <v>0</v>
      </c>
      <c r="V323" s="79"/>
      <c r="W323" s="76"/>
      <c r="X323" s="76"/>
      <c r="Y323" s="76"/>
      <c r="Z323" s="76"/>
      <c r="AA323" s="80"/>
      <c r="AB323" s="79"/>
      <c r="AC323" s="76"/>
      <c r="AD323" s="76"/>
      <c r="AE323" s="76"/>
      <c r="AF323" s="76"/>
      <c r="AG323" s="80"/>
      <c r="AH323" s="79"/>
      <c r="AI323" s="76"/>
      <c r="AJ323" s="76"/>
      <c r="AK323" s="76"/>
      <c r="AL323" s="76"/>
      <c r="AM323" s="80"/>
      <c r="AN323" s="79"/>
      <c r="AO323" s="76"/>
      <c r="AP323" s="76"/>
      <c r="AQ323" s="76"/>
      <c r="AR323" s="76"/>
      <c r="AS323" s="80"/>
      <c r="AT323" s="79"/>
      <c r="AU323" s="76"/>
      <c r="AV323" s="76"/>
      <c r="AW323" s="76">
        <v>4</v>
      </c>
      <c r="AX323" s="76"/>
      <c r="AY323" s="80"/>
      <c r="AZ323" s="79"/>
      <c r="BA323" s="76"/>
      <c r="BB323" s="76"/>
      <c r="BC323" s="76"/>
      <c r="BD323" s="76"/>
      <c r="BE323" s="80"/>
      <c r="BF323" s="79"/>
      <c r="BG323" s="76"/>
      <c r="BH323" s="76"/>
      <c r="BI323" s="76"/>
      <c r="BJ323" s="76"/>
      <c r="BK323" s="80"/>
      <c r="BM323" s="125">
        <f t="shared" si="890"/>
        <v>0</v>
      </c>
      <c r="BN323" s="126">
        <f t="shared" si="891"/>
        <v>0</v>
      </c>
      <c r="BO323" s="126">
        <f t="shared" si="892"/>
        <v>0</v>
      </c>
      <c r="BP323" s="126">
        <f t="shared" si="893"/>
        <v>0</v>
      </c>
      <c r="BQ323" s="126">
        <f>SUM(AT323:AY323)</f>
        <v>4</v>
      </c>
      <c r="BR323" s="126">
        <f t="shared" si="894"/>
        <v>0</v>
      </c>
      <c r="BS323" s="127">
        <f t="shared" si="895"/>
        <v>0</v>
      </c>
      <c r="BT323" s="74"/>
      <c r="BU323" s="125">
        <f t="shared" si="896"/>
        <v>0</v>
      </c>
      <c r="BV323" s="126">
        <f t="shared" si="897"/>
        <v>0</v>
      </c>
      <c r="BW323" s="126">
        <f t="shared" si="898"/>
        <v>0</v>
      </c>
      <c r="BX323" s="126">
        <f t="shared" si="899"/>
        <v>0</v>
      </c>
      <c r="BY323" s="126">
        <f t="shared" si="900"/>
        <v>3</v>
      </c>
      <c r="BZ323" s="126">
        <f t="shared" si="900"/>
        <v>0</v>
      </c>
      <c r="CA323" s="126">
        <f t="shared" si="900"/>
        <v>0</v>
      </c>
    </row>
    <row r="324" spans="1:79" ht="15.75">
      <c r="A324" s="152" t="str">
        <f t="shared" si="755"/>
        <v>P</v>
      </c>
      <c r="B324" s="153">
        <f t="shared" si="756"/>
        <v>70000</v>
      </c>
      <c r="C324" s="154" t="s">
        <v>247</v>
      </c>
      <c r="D324" s="155" t="s">
        <v>0</v>
      </c>
      <c r="E324" s="155" t="s">
        <v>0</v>
      </c>
      <c r="F324" s="156" t="s">
        <v>248</v>
      </c>
      <c r="G324" s="155" t="s">
        <v>0</v>
      </c>
      <c r="H324" s="155" t="s">
        <v>0</v>
      </c>
      <c r="I324" s="155" t="s">
        <v>0</v>
      </c>
      <c r="J324" s="157" t="s">
        <v>54</v>
      </c>
      <c r="K324" s="9">
        <v>5</v>
      </c>
      <c r="L324" s="8" t="s">
        <v>56</v>
      </c>
      <c r="M324" s="9">
        <v>11.75</v>
      </c>
      <c r="N324" s="9">
        <v>0</v>
      </c>
      <c r="O324" s="10">
        <v>11.75</v>
      </c>
      <c r="P324" s="111"/>
      <c r="Q324" s="112"/>
      <c r="R324" s="112">
        <f>SUMIFS(R325:R$415,$C325:$C$415,$C324)</f>
        <v>11.75</v>
      </c>
      <c r="S324" s="112">
        <f>SUMIFS(S325:S$415,$C325:$C$415,$C324)</f>
        <v>0</v>
      </c>
      <c r="T324" s="92">
        <f>R324/O324</f>
        <v>1</v>
      </c>
      <c r="V324" s="77"/>
      <c r="W324" s="75"/>
      <c r="X324" s="75"/>
      <c r="Y324" s="75"/>
      <c r="Z324" s="75"/>
      <c r="AA324" s="78"/>
      <c r="AB324" s="77"/>
      <c r="AC324" s="75"/>
      <c r="AD324" s="75"/>
      <c r="AE324" s="75"/>
      <c r="AF324" s="75"/>
      <c r="AG324" s="78"/>
      <c r="AH324" s="77"/>
      <c r="AI324" s="75"/>
      <c r="AJ324" s="75"/>
      <c r="AK324" s="75"/>
      <c r="AL324" s="75"/>
      <c r="AM324" s="78"/>
      <c r="AN324" s="77"/>
      <c r="AO324" s="75"/>
      <c r="AP324" s="75"/>
      <c r="AQ324" s="75"/>
      <c r="AR324" s="75"/>
      <c r="AS324" s="78"/>
      <c r="AT324" s="77"/>
      <c r="AU324" s="75"/>
      <c r="AV324" s="75"/>
      <c r="AW324" s="75"/>
      <c r="AX324" s="75"/>
      <c r="AY324" s="78"/>
      <c r="AZ324" s="77"/>
      <c r="BA324" s="75"/>
      <c r="BB324" s="75"/>
      <c r="BC324" s="75"/>
      <c r="BD324" s="75"/>
      <c r="BE324" s="78"/>
      <c r="BF324" s="77"/>
      <c r="BG324" s="75"/>
      <c r="BH324" s="75"/>
      <c r="BI324" s="75"/>
      <c r="BJ324" s="75"/>
      <c r="BK324" s="78"/>
      <c r="BM324" s="122"/>
      <c r="BN324" s="123"/>
      <c r="BO324" s="123"/>
      <c r="BP324" s="123"/>
      <c r="BQ324" s="123"/>
      <c r="BR324" s="123"/>
      <c r="BS324" s="124"/>
      <c r="BT324" s="74"/>
      <c r="BU324" s="122"/>
      <c r="BV324" s="123"/>
      <c r="BW324" s="123"/>
      <c r="BX324" s="123"/>
      <c r="BY324" s="123"/>
      <c r="BZ324" s="123"/>
      <c r="CA324" s="123"/>
    </row>
    <row r="325" spans="1:79">
      <c r="A325" s="147" t="str">
        <f t="shared" si="755"/>
        <v>D</v>
      </c>
      <c r="B325" s="148">
        <f t="shared" si="756"/>
        <v>70000</v>
      </c>
      <c r="C325" s="149" t="s">
        <v>247</v>
      </c>
      <c r="D325" s="150" t="s">
        <v>0</v>
      </c>
      <c r="E325" s="150" t="s">
        <v>0</v>
      </c>
      <c r="F325" s="145" t="s">
        <v>176</v>
      </c>
      <c r="G325" s="150" t="s">
        <v>0</v>
      </c>
      <c r="H325" s="150" t="s">
        <v>0</v>
      </c>
      <c r="I325" s="150" t="s">
        <v>0</v>
      </c>
      <c r="J325" s="151" t="s">
        <v>54</v>
      </c>
      <c r="K325" s="13">
        <v>5</v>
      </c>
      <c r="L325" s="12" t="s">
        <v>56</v>
      </c>
      <c r="M325" s="13">
        <v>1.25</v>
      </c>
      <c r="N325" s="13">
        <v>0</v>
      </c>
      <c r="O325" s="14">
        <v>1.25</v>
      </c>
      <c r="P325" s="113">
        <f t="shared" ref="P325:P328" si="901">SUM(BM325:BS325)</f>
        <v>5</v>
      </c>
      <c r="Q325" s="114">
        <f t="shared" ref="Q325:Q328" si="902">K325-P325</f>
        <v>0</v>
      </c>
      <c r="R325" s="114">
        <f t="shared" ref="R325:R328" si="903">SUM(BU325:CA325)</f>
        <v>1.25</v>
      </c>
      <c r="S325" s="114">
        <f t="shared" ref="S325:S328" si="904">O325-R325</f>
        <v>0</v>
      </c>
      <c r="T325" s="93">
        <f t="shared" ref="T325:T328" si="905">R325/O325</f>
        <v>1</v>
      </c>
      <c r="U325" t="s">
        <v>0</v>
      </c>
      <c r="V325" s="79"/>
      <c r="W325" s="76"/>
      <c r="X325" s="76"/>
      <c r="Y325" s="76"/>
      <c r="Z325" s="76"/>
      <c r="AA325" s="80"/>
      <c r="AB325" s="79"/>
      <c r="AC325" s="76"/>
      <c r="AD325" s="76"/>
      <c r="AE325" s="76"/>
      <c r="AF325" s="76"/>
      <c r="AG325" s="80"/>
      <c r="AH325" s="79"/>
      <c r="AI325" s="76"/>
      <c r="AJ325" s="76"/>
      <c r="AK325" s="76"/>
      <c r="AL325" s="76"/>
      <c r="AM325" s="80">
        <v>5</v>
      </c>
      <c r="AN325" s="79"/>
      <c r="AO325" s="76"/>
      <c r="AP325" s="76"/>
      <c r="AQ325" s="76"/>
      <c r="AR325" s="76"/>
      <c r="AS325" s="80"/>
      <c r="AT325" s="79"/>
      <c r="AU325" s="76"/>
      <c r="AV325" s="76"/>
      <c r="AW325" s="76"/>
      <c r="AX325" s="76"/>
      <c r="AY325" s="80"/>
      <c r="AZ325" s="79"/>
      <c r="BA325" s="76"/>
      <c r="BB325" s="76"/>
      <c r="BC325" s="76"/>
      <c r="BD325" s="76"/>
      <c r="BE325" s="80"/>
      <c r="BF325" s="79"/>
      <c r="BG325" s="76"/>
      <c r="BH325" s="76"/>
      <c r="BI325" s="76"/>
      <c r="BJ325" s="76"/>
      <c r="BK325" s="80"/>
      <c r="BM325" s="125">
        <f t="shared" ref="BM325:BM328" si="906">SUM(V325:AA325)</f>
        <v>0</v>
      </c>
      <c r="BN325" s="126">
        <f t="shared" ref="BN325:BN328" si="907">SUM(AB325:AG325)</f>
        <v>0</v>
      </c>
      <c r="BO325" s="126">
        <f t="shared" ref="BO325:BO328" si="908">SUM(AH325:AM325)</f>
        <v>5</v>
      </c>
      <c r="BP325" s="126">
        <f t="shared" ref="BP325:BP328" si="909">SUM(AN325:AS325)</f>
        <v>0</v>
      </c>
      <c r="BQ325" s="126">
        <f>SUM(AT325:AY325)</f>
        <v>0</v>
      </c>
      <c r="BR325" s="126">
        <f t="shared" ref="BR325:BS328" si="910">SUM(AZ325:BE325)</f>
        <v>0</v>
      </c>
      <c r="BS325" s="127">
        <f t="shared" ref="BS325:BS328" si="911">SUM(BF325:BK325)</f>
        <v>0</v>
      </c>
      <c r="BT325" s="74"/>
      <c r="BU325" s="125">
        <f t="shared" ref="BU325:BU328" si="912">(BM325/$K325)*$O325</f>
        <v>0</v>
      </c>
      <c r="BV325" s="126">
        <f t="shared" ref="BV325:BV328" si="913">(BN325/$K325)*$O325</f>
        <v>0</v>
      </c>
      <c r="BW325" s="126">
        <f t="shared" ref="BW325:BW328" si="914">(BO325/$K325)*$O325</f>
        <v>1.25</v>
      </c>
      <c r="BX325" s="126">
        <f t="shared" ref="BX325:BX328" si="915">(BP325/$K325)*$O325</f>
        <v>0</v>
      </c>
      <c r="BY325" s="126">
        <f t="shared" ref="BY325:CA328" si="916">(BQ325/$K325)*$O325</f>
        <v>0</v>
      </c>
      <c r="BZ325" s="126">
        <f t="shared" si="916"/>
        <v>0</v>
      </c>
      <c r="CA325" s="126">
        <f t="shared" si="916"/>
        <v>0</v>
      </c>
    </row>
    <row r="326" spans="1:79">
      <c r="A326" s="147" t="str">
        <f t="shared" si="755"/>
        <v>D</v>
      </c>
      <c r="B326" s="148">
        <f t="shared" si="756"/>
        <v>70000</v>
      </c>
      <c r="C326" s="149" t="s">
        <v>247</v>
      </c>
      <c r="D326" s="150" t="s">
        <v>0</v>
      </c>
      <c r="E326" s="150" t="s">
        <v>0</v>
      </c>
      <c r="F326" s="145" t="s">
        <v>178</v>
      </c>
      <c r="G326" s="150" t="s">
        <v>0</v>
      </c>
      <c r="H326" s="150" t="s">
        <v>0</v>
      </c>
      <c r="I326" s="150" t="s">
        <v>0</v>
      </c>
      <c r="J326" s="151" t="s">
        <v>54</v>
      </c>
      <c r="K326" s="13">
        <v>2</v>
      </c>
      <c r="L326" s="12" t="s">
        <v>32</v>
      </c>
      <c r="M326" s="13">
        <v>3.5</v>
      </c>
      <c r="N326" s="13">
        <v>0</v>
      </c>
      <c r="O326" s="14">
        <v>3.5</v>
      </c>
      <c r="P326" s="113">
        <f t="shared" si="901"/>
        <v>2</v>
      </c>
      <c r="Q326" s="114">
        <f t="shared" si="902"/>
        <v>0</v>
      </c>
      <c r="R326" s="114">
        <f t="shared" si="903"/>
        <v>3.5</v>
      </c>
      <c r="S326" s="114">
        <f t="shared" si="904"/>
        <v>0</v>
      </c>
      <c r="T326" s="93">
        <f t="shared" si="905"/>
        <v>1</v>
      </c>
      <c r="U326" t="s">
        <v>0</v>
      </c>
      <c r="V326" s="79"/>
      <c r="W326" s="76"/>
      <c r="X326" s="76"/>
      <c r="Y326" s="76"/>
      <c r="Z326" s="76"/>
      <c r="AA326" s="80"/>
      <c r="AB326" s="79"/>
      <c r="AC326" s="76"/>
      <c r="AD326" s="76"/>
      <c r="AE326" s="76"/>
      <c r="AF326" s="76"/>
      <c r="AG326" s="80"/>
      <c r="AH326" s="79"/>
      <c r="AI326" s="76"/>
      <c r="AJ326" s="76"/>
      <c r="AK326" s="76"/>
      <c r="AL326" s="76"/>
      <c r="AM326" s="80">
        <v>2</v>
      </c>
      <c r="AN326" s="79"/>
      <c r="AO326" s="76"/>
      <c r="AP326" s="76"/>
      <c r="AQ326" s="76"/>
      <c r="AR326" s="76"/>
      <c r="AS326" s="80"/>
      <c r="AT326" s="79"/>
      <c r="AU326" s="76"/>
      <c r="AV326" s="76"/>
      <c r="AW326" s="76"/>
      <c r="AX326" s="76"/>
      <c r="AY326" s="80"/>
      <c r="AZ326" s="79"/>
      <c r="BA326" s="76"/>
      <c r="BB326" s="76"/>
      <c r="BC326" s="76"/>
      <c r="BD326" s="76"/>
      <c r="BE326" s="80"/>
      <c r="BF326" s="79"/>
      <c r="BG326" s="76"/>
      <c r="BH326" s="76"/>
      <c r="BI326" s="76"/>
      <c r="BJ326" s="76"/>
      <c r="BK326" s="80"/>
      <c r="BM326" s="125">
        <f t="shared" si="906"/>
        <v>0</v>
      </c>
      <c r="BN326" s="126">
        <f t="shared" si="907"/>
        <v>0</v>
      </c>
      <c r="BO326" s="126">
        <f t="shared" si="908"/>
        <v>2</v>
      </c>
      <c r="BP326" s="126">
        <f t="shared" si="909"/>
        <v>0</v>
      </c>
      <c r="BQ326" s="126">
        <f>SUM(AT326:AY326)</f>
        <v>0</v>
      </c>
      <c r="BR326" s="126">
        <f t="shared" si="910"/>
        <v>0</v>
      </c>
      <c r="BS326" s="127">
        <f t="shared" si="911"/>
        <v>0</v>
      </c>
      <c r="BT326" s="74"/>
      <c r="BU326" s="125">
        <f t="shared" si="912"/>
        <v>0</v>
      </c>
      <c r="BV326" s="126">
        <f t="shared" si="913"/>
        <v>0</v>
      </c>
      <c r="BW326" s="126">
        <f t="shared" si="914"/>
        <v>3.5</v>
      </c>
      <c r="BX326" s="126">
        <f t="shared" si="915"/>
        <v>0</v>
      </c>
      <c r="BY326" s="126">
        <f t="shared" si="916"/>
        <v>0</v>
      </c>
      <c r="BZ326" s="126">
        <f t="shared" si="916"/>
        <v>0</v>
      </c>
      <c r="CA326" s="126">
        <f t="shared" si="916"/>
        <v>0</v>
      </c>
    </row>
    <row r="327" spans="1:79">
      <c r="A327" s="147" t="str">
        <f t="shared" si="755"/>
        <v>D</v>
      </c>
      <c r="B327" s="148">
        <f t="shared" si="756"/>
        <v>70000</v>
      </c>
      <c r="C327" s="149" t="s">
        <v>247</v>
      </c>
      <c r="D327" s="150" t="s">
        <v>0</v>
      </c>
      <c r="E327" s="150" t="s">
        <v>0</v>
      </c>
      <c r="F327" s="145" t="s">
        <v>180</v>
      </c>
      <c r="G327" s="150" t="s">
        <v>0</v>
      </c>
      <c r="H327" s="150" t="s">
        <v>0</v>
      </c>
      <c r="I327" s="150" t="s">
        <v>0</v>
      </c>
      <c r="J327" s="151" t="s">
        <v>54</v>
      </c>
      <c r="K327" s="13">
        <v>4</v>
      </c>
      <c r="L327" s="12" t="s">
        <v>32</v>
      </c>
      <c r="M327" s="13">
        <v>5</v>
      </c>
      <c r="N327" s="13">
        <v>0</v>
      </c>
      <c r="O327" s="14">
        <v>5</v>
      </c>
      <c r="P327" s="113">
        <f t="shared" si="901"/>
        <v>4</v>
      </c>
      <c r="Q327" s="114">
        <f t="shared" si="902"/>
        <v>0</v>
      </c>
      <c r="R327" s="114">
        <f t="shared" si="903"/>
        <v>5</v>
      </c>
      <c r="S327" s="114">
        <f t="shared" si="904"/>
        <v>0</v>
      </c>
      <c r="T327" s="93">
        <f t="shared" si="905"/>
        <v>1</v>
      </c>
      <c r="U327" t="s">
        <v>0</v>
      </c>
      <c r="V327" s="79"/>
      <c r="W327" s="76"/>
      <c r="X327" s="76"/>
      <c r="Y327" s="76"/>
      <c r="Z327" s="76"/>
      <c r="AA327" s="80"/>
      <c r="AB327" s="79"/>
      <c r="AC327" s="76"/>
      <c r="AD327" s="76"/>
      <c r="AE327" s="76"/>
      <c r="AF327" s="76"/>
      <c r="AG327" s="80"/>
      <c r="AH327" s="79"/>
      <c r="AI327" s="76"/>
      <c r="AJ327" s="76"/>
      <c r="AK327" s="76"/>
      <c r="AL327" s="76"/>
      <c r="AM327" s="80">
        <v>4</v>
      </c>
      <c r="AN327" s="79"/>
      <c r="AO327" s="76"/>
      <c r="AP327" s="76"/>
      <c r="AQ327" s="76"/>
      <c r="AR327" s="76"/>
      <c r="AS327" s="80"/>
      <c r="AT327" s="79"/>
      <c r="AU327" s="76"/>
      <c r="AV327" s="76"/>
      <c r="AW327" s="76"/>
      <c r="AX327" s="76"/>
      <c r="AY327" s="80"/>
      <c r="AZ327" s="79"/>
      <c r="BA327" s="76"/>
      <c r="BB327" s="76"/>
      <c r="BC327" s="76"/>
      <c r="BD327" s="76"/>
      <c r="BE327" s="80"/>
      <c r="BF327" s="79"/>
      <c r="BG327" s="76"/>
      <c r="BH327" s="76"/>
      <c r="BI327" s="76"/>
      <c r="BJ327" s="76"/>
      <c r="BK327" s="80"/>
      <c r="BM327" s="125">
        <f t="shared" si="906"/>
        <v>0</v>
      </c>
      <c r="BN327" s="126">
        <f t="shared" si="907"/>
        <v>0</v>
      </c>
      <c r="BO327" s="126">
        <f t="shared" si="908"/>
        <v>4</v>
      </c>
      <c r="BP327" s="126">
        <f t="shared" si="909"/>
        <v>0</v>
      </c>
      <c r="BQ327" s="126">
        <f>SUM(AT327:AY327)</f>
        <v>0</v>
      </c>
      <c r="BR327" s="126">
        <f t="shared" si="910"/>
        <v>0</v>
      </c>
      <c r="BS327" s="127">
        <f t="shared" si="911"/>
        <v>0</v>
      </c>
      <c r="BT327" s="74"/>
      <c r="BU327" s="125">
        <f t="shared" si="912"/>
        <v>0</v>
      </c>
      <c r="BV327" s="126">
        <f t="shared" si="913"/>
        <v>0</v>
      </c>
      <c r="BW327" s="126">
        <f t="shared" si="914"/>
        <v>5</v>
      </c>
      <c r="BX327" s="126">
        <f t="shared" si="915"/>
        <v>0</v>
      </c>
      <c r="BY327" s="126">
        <f t="shared" si="916"/>
        <v>0</v>
      </c>
      <c r="BZ327" s="126">
        <f t="shared" si="916"/>
        <v>0</v>
      </c>
      <c r="CA327" s="126">
        <f t="shared" si="916"/>
        <v>0</v>
      </c>
    </row>
    <row r="328" spans="1:79">
      <c r="A328" s="147" t="str">
        <f t="shared" si="755"/>
        <v>D</v>
      </c>
      <c r="B328" s="148">
        <f t="shared" si="756"/>
        <v>70000</v>
      </c>
      <c r="C328" s="149" t="s">
        <v>247</v>
      </c>
      <c r="D328" s="150" t="s">
        <v>0</v>
      </c>
      <c r="E328" s="150" t="s">
        <v>0</v>
      </c>
      <c r="F328" s="145" t="s">
        <v>181</v>
      </c>
      <c r="G328" s="150" t="s">
        <v>0</v>
      </c>
      <c r="H328" s="150" t="s">
        <v>0</v>
      </c>
      <c r="I328" s="150" t="s">
        <v>0</v>
      </c>
      <c r="J328" s="151" t="s">
        <v>54</v>
      </c>
      <c r="K328" s="13">
        <v>1</v>
      </c>
      <c r="L328" s="12" t="s">
        <v>32</v>
      </c>
      <c r="M328" s="13">
        <v>2</v>
      </c>
      <c r="N328" s="13">
        <v>0</v>
      </c>
      <c r="O328" s="14">
        <v>2</v>
      </c>
      <c r="P328" s="113">
        <f t="shared" si="901"/>
        <v>1</v>
      </c>
      <c r="Q328" s="114">
        <f t="shared" si="902"/>
        <v>0</v>
      </c>
      <c r="R328" s="114">
        <f t="shared" si="903"/>
        <v>2</v>
      </c>
      <c r="S328" s="114">
        <f t="shared" si="904"/>
        <v>0</v>
      </c>
      <c r="T328" s="93">
        <f t="shared" si="905"/>
        <v>1</v>
      </c>
      <c r="U328" t="s">
        <v>0</v>
      </c>
      <c r="V328" s="79"/>
      <c r="W328" s="76"/>
      <c r="X328" s="76"/>
      <c r="Y328" s="76"/>
      <c r="Z328" s="76"/>
      <c r="AA328" s="80"/>
      <c r="AB328" s="79"/>
      <c r="AC328" s="76"/>
      <c r="AD328" s="76"/>
      <c r="AE328" s="76"/>
      <c r="AF328" s="76"/>
      <c r="AG328" s="80"/>
      <c r="AH328" s="79"/>
      <c r="AI328" s="76"/>
      <c r="AJ328" s="76"/>
      <c r="AK328" s="76"/>
      <c r="AL328" s="76"/>
      <c r="AM328" s="80"/>
      <c r="AN328" s="79"/>
      <c r="AO328" s="76"/>
      <c r="AP328" s="76"/>
      <c r="AQ328" s="76"/>
      <c r="AR328" s="76"/>
      <c r="AS328" s="80"/>
      <c r="AT328" s="79"/>
      <c r="AU328" s="76">
        <v>1</v>
      </c>
      <c r="AV328" s="76"/>
      <c r="AW328" s="76"/>
      <c r="AX328" s="76"/>
      <c r="AY328" s="80"/>
      <c r="AZ328" s="79"/>
      <c r="BA328" s="76"/>
      <c r="BB328" s="76"/>
      <c r="BC328" s="76"/>
      <c r="BD328" s="76"/>
      <c r="BE328" s="80"/>
      <c r="BF328" s="79"/>
      <c r="BG328" s="76"/>
      <c r="BH328" s="76"/>
      <c r="BI328" s="76"/>
      <c r="BJ328" s="76"/>
      <c r="BK328" s="80"/>
      <c r="BM328" s="125">
        <f t="shared" si="906"/>
        <v>0</v>
      </c>
      <c r="BN328" s="126">
        <f t="shared" si="907"/>
        <v>0</v>
      </c>
      <c r="BO328" s="126">
        <f t="shared" si="908"/>
        <v>0</v>
      </c>
      <c r="BP328" s="126">
        <f t="shared" si="909"/>
        <v>0</v>
      </c>
      <c r="BQ328" s="126">
        <f>SUM(AT328:AY328)</f>
        <v>1</v>
      </c>
      <c r="BR328" s="126">
        <f t="shared" si="910"/>
        <v>0</v>
      </c>
      <c r="BS328" s="127">
        <f t="shared" si="911"/>
        <v>0</v>
      </c>
      <c r="BT328" s="74"/>
      <c r="BU328" s="125">
        <f t="shared" si="912"/>
        <v>0</v>
      </c>
      <c r="BV328" s="126">
        <f t="shared" si="913"/>
        <v>0</v>
      </c>
      <c r="BW328" s="126">
        <f t="shared" si="914"/>
        <v>0</v>
      </c>
      <c r="BX328" s="126">
        <f t="shared" si="915"/>
        <v>0</v>
      </c>
      <c r="BY328" s="126">
        <f t="shared" si="916"/>
        <v>2</v>
      </c>
      <c r="BZ328" s="126">
        <f t="shared" si="916"/>
        <v>0</v>
      </c>
      <c r="CA328" s="126">
        <f t="shared" si="916"/>
        <v>0</v>
      </c>
    </row>
    <row r="329" spans="1:79" ht="15.75">
      <c r="A329" s="152" t="str">
        <f t="shared" si="755"/>
        <v>P</v>
      </c>
      <c r="B329" s="153">
        <f t="shared" si="756"/>
        <v>70000</v>
      </c>
      <c r="C329" s="154" t="s">
        <v>249</v>
      </c>
      <c r="D329" s="155" t="s">
        <v>0</v>
      </c>
      <c r="E329" s="155" t="s">
        <v>0</v>
      </c>
      <c r="F329" s="156" t="s">
        <v>250</v>
      </c>
      <c r="G329" s="155" t="s">
        <v>0</v>
      </c>
      <c r="H329" s="155" t="s">
        <v>0</v>
      </c>
      <c r="I329" s="155" t="s">
        <v>0</v>
      </c>
      <c r="J329" s="157" t="s">
        <v>54</v>
      </c>
      <c r="K329" s="9">
        <v>15</v>
      </c>
      <c r="L329" s="8" t="s">
        <v>56</v>
      </c>
      <c r="M329" s="9">
        <v>8</v>
      </c>
      <c r="N329" s="9">
        <v>0</v>
      </c>
      <c r="O329" s="10">
        <v>8</v>
      </c>
      <c r="P329" s="111"/>
      <c r="Q329" s="112"/>
      <c r="R329" s="112">
        <f>SUMIFS(R330:R$415,$C330:$C$415,$C329)</f>
        <v>8</v>
      </c>
      <c r="S329" s="112">
        <f>SUMIFS(S330:S$415,$C330:$C$415,$C329)</f>
        <v>0</v>
      </c>
      <c r="T329" s="92">
        <f>R329/O329</f>
        <v>1</v>
      </c>
      <c r="V329" s="77"/>
      <c r="W329" s="75"/>
      <c r="X329" s="75"/>
      <c r="Y329" s="75"/>
      <c r="Z329" s="75"/>
      <c r="AA329" s="78"/>
      <c r="AB329" s="77"/>
      <c r="AC329" s="75"/>
      <c r="AD329" s="75"/>
      <c r="AE329" s="75"/>
      <c r="AF329" s="75"/>
      <c r="AG329" s="78"/>
      <c r="AH329" s="77"/>
      <c r="AI329" s="75"/>
      <c r="AJ329" s="75"/>
      <c r="AK329" s="75"/>
      <c r="AL329" s="75"/>
      <c r="AM329" s="78"/>
      <c r="AN329" s="77"/>
      <c r="AO329" s="75"/>
      <c r="AP329" s="75"/>
      <c r="AQ329" s="75"/>
      <c r="AR329" s="75"/>
      <c r="AS329" s="78"/>
      <c r="AT329" s="77"/>
      <c r="AU329" s="75"/>
      <c r="AV329" s="75"/>
      <c r="AW329" s="75"/>
      <c r="AX329" s="75"/>
      <c r="AY329" s="78"/>
      <c r="AZ329" s="77"/>
      <c r="BA329" s="75"/>
      <c r="BB329" s="75"/>
      <c r="BC329" s="75"/>
      <c r="BD329" s="75"/>
      <c r="BE329" s="78"/>
      <c r="BF329" s="77"/>
      <c r="BG329" s="75"/>
      <c r="BH329" s="75"/>
      <c r="BI329" s="75"/>
      <c r="BJ329" s="75"/>
      <c r="BK329" s="78"/>
      <c r="BM329" s="122"/>
      <c r="BN329" s="123"/>
      <c r="BO329" s="123"/>
      <c r="BP329" s="123"/>
      <c r="BQ329" s="123"/>
      <c r="BR329" s="123"/>
      <c r="BS329" s="124"/>
      <c r="BT329" s="74"/>
      <c r="BU329" s="122"/>
      <c r="BV329" s="123"/>
      <c r="BW329" s="123"/>
      <c r="BX329" s="123"/>
      <c r="BY329" s="123"/>
      <c r="BZ329" s="123"/>
      <c r="CA329" s="123"/>
    </row>
    <row r="330" spans="1:79">
      <c r="A330" s="147" t="str">
        <f t="shared" si="755"/>
        <v>D</v>
      </c>
      <c r="B330" s="148">
        <f t="shared" si="756"/>
        <v>70000</v>
      </c>
      <c r="C330" s="149" t="s">
        <v>249</v>
      </c>
      <c r="D330" s="150" t="s">
        <v>0</v>
      </c>
      <c r="E330" s="150" t="s">
        <v>0</v>
      </c>
      <c r="F330" s="145" t="s">
        <v>222</v>
      </c>
      <c r="G330" s="150" t="s">
        <v>0</v>
      </c>
      <c r="H330" s="150" t="s">
        <v>0</v>
      </c>
      <c r="I330" s="150" t="s">
        <v>0</v>
      </c>
      <c r="J330" s="151" t="s">
        <v>54</v>
      </c>
      <c r="K330" s="13">
        <v>15</v>
      </c>
      <c r="L330" s="12" t="s">
        <v>56</v>
      </c>
      <c r="M330" s="13">
        <v>3</v>
      </c>
      <c r="N330" s="13">
        <v>0</v>
      </c>
      <c r="O330" s="14">
        <v>3</v>
      </c>
      <c r="P330" s="113">
        <f t="shared" ref="P330:P332" si="917">SUM(BM330:BS330)</f>
        <v>15</v>
      </c>
      <c r="Q330" s="114">
        <f t="shared" ref="Q330:Q332" si="918">K330-P330</f>
        <v>0</v>
      </c>
      <c r="R330" s="114">
        <f t="shared" ref="R330:R332" si="919">SUM(BU330:CA330)</f>
        <v>3</v>
      </c>
      <c r="S330" s="114">
        <f t="shared" ref="S330:S332" si="920">O330-R330</f>
        <v>0</v>
      </c>
      <c r="T330" s="93">
        <f t="shared" ref="T330:T332" si="921">R330/O330</f>
        <v>1</v>
      </c>
      <c r="U330" t="s">
        <v>0</v>
      </c>
      <c r="V330" s="79"/>
      <c r="W330" s="76"/>
      <c r="X330" s="76"/>
      <c r="Y330" s="76"/>
      <c r="Z330" s="76"/>
      <c r="AA330" s="80"/>
      <c r="AB330" s="79"/>
      <c r="AC330" s="76"/>
      <c r="AD330" s="76"/>
      <c r="AE330" s="76"/>
      <c r="AF330" s="76"/>
      <c r="AG330" s="80"/>
      <c r="AH330" s="79"/>
      <c r="AI330" s="76"/>
      <c r="AJ330" s="76"/>
      <c r="AK330" s="76"/>
      <c r="AL330" s="76"/>
      <c r="AM330" s="80"/>
      <c r="AN330" s="79"/>
      <c r="AO330" s="76"/>
      <c r="AP330" s="76"/>
      <c r="AQ330" s="76"/>
      <c r="AR330" s="76"/>
      <c r="AS330" s="80"/>
      <c r="AT330" s="79"/>
      <c r="AU330" s="76">
        <v>15</v>
      </c>
      <c r="AV330" s="76"/>
      <c r="AW330" s="76"/>
      <c r="AX330" s="76"/>
      <c r="AY330" s="80"/>
      <c r="AZ330" s="79"/>
      <c r="BA330" s="76"/>
      <c r="BB330" s="76"/>
      <c r="BC330" s="76"/>
      <c r="BD330" s="76"/>
      <c r="BE330" s="80"/>
      <c r="BF330" s="79"/>
      <c r="BG330" s="76"/>
      <c r="BH330" s="76"/>
      <c r="BI330" s="76"/>
      <c r="BJ330" s="76"/>
      <c r="BK330" s="80"/>
      <c r="BM330" s="125">
        <f t="shared" ref="BM330:BM332" si="922">SUM(V330:AA330)</f>
        <v>0</v>
      </c>
      <c r="BN330" s="126">
        <f t="shared" ref="BN330:BN332" si="923">SUM(AB330:AG330)</f>
        <v>0</v>
      </c>
      <c r="BO330" s="126">
        <f t="shared" ref="BO330:BO332" si="924">SUM(AH330:AM330)</f>
        <v>0</v>
      </c>
      <c r="BP330" s="126">
        <f t="shared" ref="BP330:BP332" si="925">SUM(AN330:AS330)</f>
        <v>0</v>
      </c>
      <c r="BQ330" s="126">
        <f>SUM(AT330:AY330)</f>
        <v>15</v>
      </c>
      <c r="BR330" s="126">
        <f t="shared" ref="BR330:BS332" si="926">SUM(AZ330:BE330)</f>
        <v>0</v>
      </c>
      <c r="BS330" s="127">
        <f t="shared" ref="BS330:BS332" si="927">SUM(BF330:BK330)</f>
        <v>0</v>
      </c>
      <c r="BT330" s="74"/>
      <c r="BU330" s="125">
        <f t="shared" ref="BU330:BU332" si="928">(BM330/$K330)*$O330</f>
        <v>0</v>
      </c>
      <c r="BV330" s="126">
        <f t="shared" ref="BV330:BV332" si="929">(BN330/$K330)*$O330</f>
        <v>0</v>
      </c>
      <c r="BW330" s="126">
        <f t="shared" ref="BW330:BW332" si="930">(BO330/$K330)*$O330</f>
        <v>0</v>
      </c>
      <c r="BX330" s="126">
        <f t="shared" ref="BX330:BX332" si="931">(BP330/$K330)*$O330</f>
        <v>0</v>
      </c>
      <c r="BY330" s="126">
        <f t="shared" ref="BY330:CA332" si="932">(BQ330/$K330)*$O330</f>
        <v>3</v>
      </c>
      <c r="BZ330" s="126">
        <f t="shared" si="932"/>
        <v>0</v>
      </c>
      <c r="CA330" s="126">
        <f t="shared" si="932"/>
        <v>0</v>
      </c>
    </row>
    <row r="331" spans="1:79">
      <c r="A331" s="147" t="str">
        <f t="shared" ref="A331:A394" si="933">IF(C331=C330,"D",(IF(C331="WBS","W","P")))</f>
        <v>D</v>
      </c>
      <c r="B331" s="148">
        <f t="shared" ref="B331:B394" si="934">IF(C331="WBS",B332,VALUE(IF(C331=0,0,IF(LEN(C331)=5,LEFT(C331,1)&amp;"0000",LEFT(C331,2)&amp;"0000"))))</f>
        <v>70000</v>
      </c>
      <c r="C331" s="149" t="s">
        <v>249</v>
      </c>
      <c r="D331" s="150" t="s">
        <v>0</v>
      </c>
      <c r="E331" s="150" t="s">
        <v>0</v>
      </c>
      <c r="F331" s="145" t="s">
        <v>194</v>
      </c>
      <c r="G331" s="150" t="s">
        <v>0</v>
      </c>
      <c r="H331" s="150" t="s">
        <v>0</v>
      </c>
      <c r="I331" s="150" t="s">
        <v>0</v>
      </c>
      <c r="J331" s="151" t="s">
        <v>54</v>
      </c>
      <c r="K331" s="13">
        <v>2</v>
      </c>
      <c r="L331" s="12" t="s">
        <v>32</v>
      </c>
      <c r="M331" s="13">
        <v>2</v>
      </c>
      <c r="N331" s="13">
        <v>0</v>
      </c>
      <c r="O331" s="14">
        <v>2</v>
      </c>
      <c r="P331" s="113">
        <f t="shared" si="917"/>
        <v>2</v>
      </c>
      <c r="Q331" s="114">
        <f t="shared" si="918"/>
        <v>0</v>
      </c>
      <c r="R331" s="114">
        <f t="shared" si="919"/>
        <v>2</v>
      </c>
      <c r="S331" s="114">
        <f t="shared" si="920"/>
        <v>0</v>
      </c>
      <c r="T331" s="93">
        <f t="shared" si="921"/>
        <v>1</v>
      </c>
      <c r="U331" t="s">
        <v>0</v>
      </c>
      <c r="V331" s="79"/>
      <c r="W331" s="76"/>
      <c r="X331" s="76"/>
      <c r="Y331" s="76"/>
      <c r="Z331" s="76"/>
      <c r="AA331" s="80"/>
      <c r="AB331" s="79"/>
      <c r="AC331" s="76"/>
      <c r="AD331" s="76"/>
      <c r="AE331" s="76"/>
      <c r="AF331" s="76"/>
      <c r="AG331" s="80"/>
      <c r="AH331" s="79"/>
      <c r="AI331" s="76"/>
      <c r="AJ331" s="76"/>
      <c r="AK331" s="76"/>
      <c r="AL331" s="76"/>
      <c r="AM331" s="80"/>
      <c r="AN331" s="79"/>
      <c r="AO331" s="76"/>
      <c r="AP331" s="76"/>
      <c r="AQ331" s="76"/>
      <c r="AR331" s="76"/>
      <c r="AS331" s="80"/>
      <c r="AT331" s="79"/>
      <c r="AU331" s="76">
        <v>2</v>
      </c>
      <c r="AV331" s="76"/>
      <c r="AW331" s="76"/>
      <c r="AX331" s="76"/>
      <c r="AY331" s="80"/>
      <c r="AZ331" s="79"/>
      <c r="BA331" s="76"/>
      <c r="BB331" s="76"/>
      <c r="BC331" s="76"/>
      <c r="BD331" s="76"/>
      <c r="BE331" s="80"/>
      <c r="BF331" s="79"/>
      <c r="BG331" s="76"/>
      <c r="BH331" s="76"/>
      <c r="BI331" s="76"/>
      <c r="BJ331" s="76"/>
      <c r="BK331" s="80"/>
      <c r="BM331" s="125">
        <f t="shared" si="922"/>
        <v>0</v>
      </c>
      <c r="BN331" s="126">
        <f t="shared" si="923"/>
        <v>0</v>
      </c>
      <c r="BO331" s="126">
        <f t="shared" si="924"/>
        <v>0</v>
      </c>
      <c r="BP331" s="126">
        <f t="shared" si="925"/>
        <v>0</v>
      </c>
      <c r="BQ331" s="126">
        <f>SUM(AT331:AY331)</f>
        <v>2</v>
      </c>
      <c r="BR331" s="126">
        <f t="shared" si="926"/>
        <v>0</v>
      </c>
      <c r="BS331" s="127">
        <f t="shared" si="927"/>
        <v>0</v>
      </c>
      <c r="BT331" s="74"/>
      <c r="BU331" s="125">
        <f t="shared" si="928"/>
        <v>0</v>
      </c>
      <c r="BV331" s="126">
        <f t="shared" si="929"/>
        <v>0</v>
      </c>
      <c r="BW331" s="126">
        <f t="shared" si="930"/>
        <v>0</v>
      </c>
      <c r="BX331" s="126">
        <f t="shared" si="931"/>
        <v>0</v>
      </c>
      <c r="BY331" s="126">
        <f t="shared" si="932"/>
        <v>2</v>
      </c>
      <c r="BZ331" s="126">
        <f t="shared" si="932"/>
        <v>0</v>
      </c>
      <c r="CA331" s="126">
        <f t="shared" si="932"/>
        <v>0</v>
      </c>
    </row>
    <row r="332" spans="1:79">
      <c r="A332" s="147" t="str">
        <f t="shared" si="933"/>
        <v>D</v>
      </c>
      <c r="B332" s="148">
        <f t="shared" si="934"/>
        <v>70000</v>
      </c>
      <c r="C332" s="149" t="s">
        <v>249</v>
      </c>
      <c r="D332" s="150" t="s">
        <v>0</v>
      </c>
      <c r="E332" s="150" t="s">
        <v>0</v>
      </c>
      <c r="F332" s="145" t="s">
        <v>223</v>
      </c>
      <c r="G332" s="150" t="s">
        <v>0</v>
      </c>
      <c r="H332" s="150" t="s">
        <v>0</v>
      </c>
      <c r="I332" s="150" t="s">
        <v>0</v>
      </c>
      <c r="J332" s="151" t="s">
        <v>54</v>
      </c>
      <c r="K332" s="13">
        <v>4</v>
      </c>
      <c r="L332" s="12" t="s">
        <v>32</v>
      </c>
      <c r="M332" s="13">
        <v>3</v>
      </c>
      <c r="N332" s="13">
        <v>0</v>
      </c>
      <c r="O332" s="14">
        <v>3</v>
      </c>
      <c r="P332" s="113">
        <f t="shared" si="917"/>
        <v>4</v>
      </c>
      <c r="Q332" s="114">
        <f t="shared" si="918"/>
        <v>0</v>
      </c>
      <c r="R332" s="114">
        <f t="shared" si="919"/>
        <v>3</v>
      </c>
      <c r="S332" s="114">
        <f t="shared" si="920"/>
        <v>0</v>
      </c>
      <c r="T332" s="93">
        <f t="shared" si="921"/>
        <v>1</v>
      </c>
      <c r="U332" t="s">
        <v>0</v>
      </c>
      <c r="V332" s="79"/>
      <c r="W332" s="76"/>
      <c r="X332" s="76"/>
      <c r="Y332" s="76"/>
      <c r="Z332" s="76"/>
      <c r="AA332" s="80"/>
      <c r="AB332" s="79"/>
      <c r="AC332" s="76"/>
      <c r="AD332" s="76"/>
      <c r="AE332" s="76"/>
      <c r="AF332" s="76"/>
      <c r="AG332" s="80"/>
      <c r="AH332" s="79"/>
      <c r="AI332" s="76"/>
      <c r="AJ332" s="76"/>
      <c r="AK332" s="76"/>
      <c r="AL332" s="76"/>
      <c r="AM332" s="80"/>
      <c r="AN332" s="79"/>
      <c r="AO332" s="76"/>
      <c r="AP332" s="76"/>
      <c r="AQ332" s="76"/>
      <c r="AR332" s="76"/>
      <c r="AS332" s="80"/>
      <c r="AT332" s="79"/>
      <c r="AU332" s="76">
        <v>4</v>
      </c>
      <c r="AV332" s="76"/>
      <c r="AW332" s="76"/>
      <c r="AX332" s="76"/>
      <c r="AY332" s="80"/>
      <c r="AZ332" s="79"/>
      <c r="BA332" s="76"/>
      <c r="BB332" s="76"/>
      <c r="BC332" s="76"/>
      <c r="BD332" s="76"/>
      <c r="BE332" s="80"/>
      <c r="BF332" s="79"/>
      <c r="BG332" s="76"/>
      <c r="BH332" s="76"/>
      <c r="BI332" s="76"/>
      <c r="BJ332" s="76"/>
      <c r="BK332" s="80"/>
      <c r="BM332" s="125">
        <f t="shared" si="922"/>
        <v>0</v>
      </c>
      <c r="BN332" s="126">
        <f t="shared" si="923"/>
        <v>0</v>
      </c>
      <c r="BO332" s="126">
        <f t="shared" si="924"/>
        <v>0</v>
      </c>
      <c r="BP332" s="126">
        <f t="shared" si="925"/>
        <v>0</v>
      </c>
      <c r="BQ332" s="126">
        <f>SUM(AT332:AY332)</f>
        <v>4</v>
      </c>
      <c r="BR332" s="126">
        <f t="shared" si="926"/>
        <v>0</v>
      </c>
      <c r="BS332" s="127">
        <f t="shared" si="927"/>
        <v>0</v>
      </c>
      <c r="BT332" s="74"/>
      <c r="BU332" s="125">
        <f t="shared" si="928"/>
        <v>0</v>
      </c>
      <c r="BV332" s="126">
        <f t="shared" si="929"/>
        <v>0</v>
      </c>
      <c r="BW332" s="126">
        <f t="shared" si="930"/>
        <v>0</v>
      </c>
      <c r="BX332" s="126">
        <f t="shared" si="931"/>
        <v>0</v>
      </c>
      <c r="BY332" s="126">
        <f t="shared" si="932"/>
        <v>3</v>
      </c>
      <c r="BZ332" s="126">
        <f t="shared" si="932"/>
        <v>0</v>
      </c>
      <c r="CA332" s="126">
        <f t="shared" si="932"/>
        <v>0</v>
      </c>
    </row>
    <row r="333" spans="1:79" ht="15.75">
      <c r="A333" s="152" t="str">
        <f t="shared" si="933"/>
        <v>P</v>
      </c>
      <c r="B333" s="153">
        <f t="shared" si="934"/>
        <v>70000</v>
      </c>
      <c r="C333" s="154" t="s">
        <v>251</v>
      </c>
      <c r="D333" s="155" t="s">
        <v>0</v>
      </c>
      <c r="E333" s="155" t="s">
        <v>0</v>
      </c>
      <c r="F333" s="156" t="s">
        <v>252</v>
      </c>
      <c r="G333" s="155" t="s">
        <v>0</v>
      </c>
      <c r="H333" s="155" t="s">
        <v>0</v>
      </c>
      <c r="I333" s="155" t="s">
        <v>0</v>
      </c>
      <c r="J333" s="157" t="s">
        <v>253</v>
      </c>
      <c r="K333" s="9">
        <v>10</v>
      </c>
      <c r="L333" s="8" t="s">
        <v>56</v>
      </c>
      <c r="M333" s="9">
        <v>5.6</v>
      </c>
      <c r="N333" s="9">
        <v>0</v>
      </c>
      <c r="O333" s="10">
        <v>5.6</v>
      </c>
      <c r="P333" s="111"/>
      <c r="Q333" s="112"/>
      <c r="R333" s="112">
        <f>SUMIFS(R334:R$415,$C334:$C$415,$C333)</f>
        <v>5.6</v>
      </c>
      <c r="S333" s="112">
        <f>SUMIFS(S334:S$415,$C334:$C$415,$C333)</f>
        <v>0</v>
      </c>
      <c r="T333" s="92">
        <f>R333/O333</f>
        <v>1</v>
      </c>
      <c r="V333" s="77"/>
      <c r="W333" s="75"/>
      <c r="X333" s="75"/>
      <c r="Y333" s="75"/>
      <c r="Z333" s="75"/>
      <c r="AA333" s="78"/>
      <c r="AB333" s="77"/>
      <c r="AC333" s="75"/>
      <c r="AD333" s="75"/>
      <c r="AE333" s="75"/>
      <c r="AF333" s="75"/>
      <c r="AG333" s="78"/>
      <c r="AH333" s="77"/>
      <c r="AI333" s="75"/>
      <c r="AJ333" s="75"/>
      <c r="AK333" s="75"/>
      <c r="AL333" s="75"/>
      <c r="AM333" s="78"/>
      <c r="AN333" s="77"/>
      <c r="AO333" s="75"/>
      <c r="AP333" s="75"/>
      <c r="AQ333" s="75"/>
      <c r="AR333" s="75"/>
      <c r="AS333" s="78"/>
      <c r="AT333" s="77"/>
      <c r="AU333" s="75"/>
      <c r="AV333" s="75"/>
      <c r="AW333" s="75"/>
      <c r="AX333" s="75"/>
      <c r="AY333" s="78"/>
      <c r="AZ333" s="77"/>
      <c r="BA333" s="75"/>
      <c r="BB333" s="75"/>
      <c r="BC333" s="75"/>
      <c r="BD333" s="75"/>
      <c r="BE333" s="78"/>
      <c r="BF333" s="77"/>
      <c r="BG333" s="75"/>
      <c r="BH333" s="75"/>
      <c r="BI333" s="75"/>
      <c r="BJ333" s="75"/>
      <c r="BK333" s="78"/>
      <c r="BM333" s="122"/>
      <c r="BN333" s="123"/>
      <c r="BO333" s="123"/>
      <c r="BP333" s="123"/>
      <c r="BQ333" s="123"/>
      <c r="BR333" s="123"/>
      <c r="BS333" s="124"/>
      <c r="BT333" s="74"/>
      <c r="BU333" s="122"/>
      <c r="BV333" s="123"/>
      <c r="BW333" s="123"/>
      <c r="BX333" s="123"/>
      <c r="BY333" s="123"/>
      <c r="BZ333" s="123"/>
      <c r="CA333" s="123"/>
    </row>
    <row r="334" spans="1:79">
      <c r="A334" s="147" t="str">
        <f t="shared" si="933"/>
        <v>D</v>
      </c>
      <c r="B334" s="148">
        <f t="shared" si="934"/>
        <v>70000</v>
      </c>
      <c r="C334" s="149" t="s">
        <v>251</v>
      </c>
      <c r="D334" s="150" t="s">
        <v>0</v>
      </c>
      <c r="E334" s="150" t="s">
        <v>0</v>
      </c>
      <c r="F334" s="145" t="s">
        <v>222</v>
      </c>
      <c r="G334" s="150" t="s">
        <v>0</v>
      </c>
      <c r="H334" s="150" t="s">
        <v>0</v>
      </c>
      <c r="I334" s="150" t="s">
        <v>0</v>
      </c>
      <c r="J334" s="151" t="s">
        <v>253</v>
      </c>
      <c r="K334" s="13">
        <v>10</v>
      </c>
      <c r="L334" s="12" t="s">
        <v>56</v>
      </c>
      <c r="M334" s="13">
        <v>2.2999999999999998</v>
      </c>
      <c r="N334" s="13">
        <v>0</v>
      </c>
      <c r="O334" s="14">
        <v>2.2999999999999998</v>
      </c>
      <c r="P334" s="113">
        <f t="shared" ref="P334:P337" si="935">SUM(BM334:BS334)</f>
        <v>10</v>
      </c>
      <c r="Q334" s="114">
        <f t="shared" ref="Q334:Q337" si="936">K334-P334</f>
        <v>0</v>
      </c>
      <c r="R334" s="114">
        <f t="shared" ref="R334:R337" si="937">SUM(BU334:CA334)</f>
        <v>2.2999999999999998</v>
      </c>
      <c r="S334" s="114">
        <f t="shared" ref="S334:S337" si="938">O334-R334</f>
        <v>0</v>
      </c>
      <c r="T334" s="93">
        <f t="shared" ref="T334:T337" si="939">R334/O334</f>
        <v>1</v>
      </c>
      <c r="U334" t="s">
        <v>0</v>
      </c>
      <c r="V334" s="79"/>
      <c r="W334" s="76"/>
      <c r="X334" s="76"/>
      <c r="Y334" s="76"/>
      <c r="Z334" s="76"/>
      <c r="AA334" s="80"/>
      <c r="AB334" s="79"/>
      <c r="AC334" s="76"/>
      <c r="AD334" s="76"/>
      <c r="AE334" s="76"/>
      <c r="AF334" s="76"/>
      <c r="AG334" s="80"/>
      <c r="AH334" s="79"/>
      <c r="AI334" s="76"/>
      <c r="AJ334" s="76">
        <v>10</v>
      </c>
      <c r="AK334" s="76"/>
      <c r="AL334" s="76"/>
      <c r="AM334" s="80"/>
      <c r="AN334" s="79"/>
      <c r="AO334" s="76"/>
      <c r="AP334" s="76"/>
      <c r="AQ334" s="76"/>
      <c r="AR334" s="76"/>
      <c r="AS334" s="80"/>
      <c r="AT334" s="79"/>
      <c r="AU334" s="76"/>
      <c r="AV334" s="76"/>
      <c r="AW334" s="76"/>
      <c r="AX334" s="76"/>
      <c r="AY334" s="80"/>
      <c r="AZ334" s="79"/>
      <c r="BA334" s="76"/>
      <c r="BB334" s="76"/>
      <c r="BC334" s="76"/>
      <c r="BD334" s="76"/>
      <c r="BE334" s="80"/>
      <c r="BF334" s="79"/>
      <c r="BG334" s="76"/>
      <c r="BH334" s="76"/>
      <c r="BI334" s="76"/>
      <c r="BJ334" s="76"/>
      <c r="BK334" s="80"/>
      <c r="BM334" s="125">
        <f t="shared" ref="BM334:BM337" si="940">SUM(V334:AA334)</f>
        <v>0</v>
      </c>
      <c r="BN334" s="126">
        <f t="shared" ref="BN334:BN337" si="941">SUM(AB334:AG334)</f>
        <v>0</v>
      </c>
      <c r="BO334" s="126">
        <f t="shared" ref="BO334:BO337" si="942">SUM(AH334:AM334)</f>
        <v>10</v>
      </c>
      <c r="BP334" s="126">
        <f t="shared" ref="BP334:BP337" si="943">SUM(AN334:AS334)</f>
        <v>0</v>
      </c>
      <c r="BQ334" s="126">
        <f>SUM(AT334:AY334)</f>
        <v>0</v>
      </c>
      <c r="BR334" s="126">
        <f t="shared" ref="BR334:BS337" si="944">SUM(AZ334:BE334)</f>
        <v>0</v>
      </c>
      <c r="BS334" s="127">
        <f t="shared" ref="BS334:BS337" si="945">SUM(BF334:BK334)</f>
        <v>0</v>
      </c>
      <c r="BT334" s="74"/>
      <c r="BU334" s="125">
        <f t="shared" ref="BU334:BU337" si="946">(BM334/$K334)*$O334</f>
        <v>0</v>
      </c>
      <c r="BV334" s="126">
        <f t="shared" ref="BV334:BV337" si="947">(BN334/$K334)*$O334</f>
        <v>0</v>
      </c>
      <c r="BW334" s="126">
        <f t="shared" ref="BW334:BW337" si="948">(BO334/$K334)*$O334</f>
        <v>2.2999999999999998</v>
      </c>
      <c r="BX334" s="126">
        <f t="shared" ref="BX334:BX337" si="949">(BP334/$K334)*$O334</f>
        <v>0</v>
      </c>
      <c r="BY334" s="126">
        <f t="shared" ref="BY334:CA337" si="950">(BQ334/$K334)*$O334</f>
        <v>0</v>
      </c>
      <c r="BZ334" s="126">
        <f t="shared" si="950"/>
        <v>0</v>
      </c>
      <c r="CA334" s="126">
        <f t="shared" si="950"/>
        <v>0</v>
      </c>
    </row>
    <row r="335" spans="1:79">
      <c r="A335" s="147" t="str">
        <f t="shared" si="933"/>
        <v>D</v>
      </c>
      <c r="B335" s="148">
        <f t="shared" si="934"/>
        <v>70000</v>
      </c>
      <c r="C335" s="149" t="s">
        <v>251</v>
      </c>
      <c r="D335" s="150" t="s">
        <v>0</v>
      </c>
      <c r="E335" s="150" t="s">
        <v>0</v>
      </c>
      <c r="F335" s="145" t="s">
        <v>254</v>
      </c>
      <c r="G335" s="150" t="s">
        <v>0</v>
      </c>
      <c r="H335" s="150" t="s">
        <v>0</v>
      </c>
      <c r="I335" s="150" t="s">
        <v>0</v>
      </c>
      <c r="J335" s="151" t="s">
        <v>253</v>
      </c>
      <c r="K335" s="13">
        <v>6</v>
      </c>
      <c r="L335" s="12" t="s">
        <v>32</v>
      </c>
      <c r="M335" s="13">
        <v>1.2</v>
      </c>
      <c r="N335" s="13">
        <v>0</v>
      </c>
      <c r="O335" s="14">
        <v>1.2</v>
      </c>
      <c r="P335" s="113">
        <f t="shared" si="935"/>
        <v>6</v>
      </c>
      <c r="Q335" s="114">
        <f t="shared" si="936"/>
        <v>0</v>
      </c>
      <c r="R335" s="114">
        <f t="shared" si="937"/>
        <v>1.2</v>
      </c>
      <c r="S335" s="114">
        <f t="shared" si="938"/>
        <v>0</v>
      </c>
      <c r="T335" s="93">
        <f t="shared" si="939"/>
        <v>1</v>
      </c>
      <c r="U335" t="s">
        <v>0</v>
      </c>
      <c r="V335" s="79"/>
      <c r="W335" s="76"/>
      <c r="X335" s="76"/>
      <c r="Y335" s="76"/>
      <c r="Z335" s="76"/>
      <c r="AA335" s="80"/>
      <c r="AB335" s="79"/>
      <c r="AC335" s="76"/>
      <c r="AD335" s="76"/>
      <c r="AE335" s="76"/>
      <c r="AF335" s="76"/>
      <c r="AG335" s="80"/>
      <c r="AH335" s="79"/>
      <c r="AI335" s="76"/>
      <c r="AJ335" s="76">
        <v>6</v>
      </c>
      <c r="AK335" s="76"/>
      <c r="AL335" s="76"/>
      <c r="AM335" s="80"/>
      <c r="AN335" s="79"/>
      <c r="AO335" s="76"/>
      <c r="AP335" s="76"/>
      <c r="AQ335" s="76"/>
      <c r="AR335" s="76"/>
      <c r="AS335" s="80"/>
      <c r="AT335" s="79"/>
      <c r="AU335" s="76"/>
      <c r="AV335" s="76"/>
      <c r="AW335" s="76"/>
      <c r="AX335" s="76"/>
      <c r="AY335" s="80"/>
      <c r="AZ335" s="79"/>
      <c r="BA335" s="76"/>
      <c r="BB335" s="76"/>
      <c r="BC335" s="76"/>
      <c r="BD335" s="76"/>
      <c r="BE335" s="80"/>
      <c r="BF335" s="79"/>
      <c r="BG335" s="76"/>
      <c r="BH335" s="76"/>
      <c r="BI335" s="76"/>
      <c r="BJ335" s="76"/>
      <c r="BK335" s="80"/>
      <c r="BM335" s="125">
        <f t="shared" si="940"/>
        <v>0</v>
      </c>
      <c r="BN335" s="126">
        <f t="shared" si="941"/>
        <v>0</v>
      </c>
      <c r="BO335" s="126">
        <f t="shared" si="942"/>
        <v>6</v>
      </c>
      <c r="BP335" s="126">
        <f t="shared" si="943"/>
        <v>0</v>
      </c>
      <c r="BQ335" s="126">
        <f>SUM(AT335:AY335)</f>
        <v>0</v>
      </c>
      <c r="BR335" s="126">
        <f t="shared" si="944"/>
        <v>0</v>
      </c>
      <c r="BS335" s="127">
        <f t="shared" si="945"/>
        <v>0</v>
      </c>
      <c r="BT335" s="74"/>
      <c r="BU335" s="125">
        <f t="shared" si="946"/>
        <v>0</v>
      </c>
      <c r="BV335" s="126">
        <f t="shared" si="947"/>
        <v>0</v>
      </c>
      <c r="BW335" s="126">
        <f t="shared" si="948"/>
        <v>1.2</v>
      </c>
      <c r="BX335" s="126">
        <f t="shared" si="949"/>
        <v>0</v>
      </c>
      <c r="BY335" s="126">
        <f t="shared" si="950"/>
        <v>0</v>
      </c>
      <c r="BZ335" s="126">
        <f t="shared" si="950"/>
        <v>0</v>
      </c>
      <c r="CA335" s="126">
        <f t="shared" si="950"/>
        <v>0</v>
      </c>
    </row>
    <row r="336" spans="1:79">
      <c r="A336" s="147" t="str">
        <f t="shared" si="933"/>
        <v>D</v>
      </c>
      <c r="B336" s="148">
        <f t="shared" si="934"/>
        <v>70000</v>
      </c>
      <c r="C336" s="149" t="s">
        <v>251</v>
      </c>
      <c r="D336" s="150" t="s">
        <v>0</v>
      </c>
      <c r="E336" s="150" t="s">
        <v>0</v>
      </c>
      <c r="F336" s="145" t="s">
        <v>255</v>
      </c>
      <c r="G336" s="150" t="s">
        <v>0</v>
      </c>
      <c r="H336" s="150" t="s">
        <v>0</v>
      </c>
      <c r="I336" s="150" t="s">
        <v>0</v>
      </c>
      <c r="J336" s="151" t="s">
        <v>253</v>
      </c>
      <c r="K336" s="13">
        <v>4</v>
      </c>
      <c r="L336" s="12" t="s">
        <v>32</v>
      </c>
      <c r="M336" s="13">
        <v>2</v>
      </c>
      <c r="N336" s="13">
        <v>0</v>
      </c>
      <c r="O336" s="14">
        <v>2</v>
      </c>
      <c r="P336" s="113">
        <f t="shared" si="935"/>
        <v>4</v>
      </c>
      <c r="Q336" s="114">
        <f t="shared" si="936"/>
        <v>0</v>
      </c>
      <c r="R336" s="114">
        <f t="shared" si="937"/>
        <v>2</v>
      </c>
      <c r="S336" s="114">
        <f t="shared" si="938"/>
        <v>0</v>
      </c>
      <c r="T336" s="93">
        <f t="shared" si="939"/>
        <v>1</v>
      </c>
      <c r="U336" t="s">
        <v>0</v>
      </c>
      <c r="V336" s="79"/>
      <c r="W336" s="76"/>
      <c r="X336" s="76"/>
      <c r="Y336" s="76"/>
      <c r="Z336" s="76"/>
      <c r="AA336" s="80"/>
      <c r="AB336" s="79"/>
      <c r="AC336" s="76"/>
      <c r="AD336" s="76"/>
      <c r="AE336" s="76"/>
      <c r="AF336" s="76"/>
      <c r="AG336" s="80"/>
      <c r="AH336" s="79"/>
      <c r="AI336" s="76"/>
      <c r="AJ336" s="76">
        <v>4</v>
      </c>
      <c r="AK336" s="76"/>
      <c r="AL336" s="76"/>
      <c r="AM336" s="80"/>
      <c r="AN336" s="79"/>
      <c r="AO336" s="76"/>
      <c r="AP336" s="76"/>
      <c r="AQ336" s="76"/>
      <c r="AR336" s="76"/>
      <c r="AS336" s="80"/>
      <c r="AT336" s="79"/>
      <c r="AU336" s="76"/>
      <c r="AV336" s="76"/>
      <c r="AW336" s="76"/>
      <c r="AX336" s="76"/>
      <c r="AY336" s="80"/>
      <c r="AZ336" s="79"/>
      <c r="BA336" s="76"/>
      <c r="BB336" s="76"/>
      <c r="BC336" s="76"/>
      <c r="BD336" s="76"/>
      <c r="BE336" s="80"/>
      <c r="BF336" s="79"/>
      <c r="BG336" s="76"/>
      <c r="BH336" s="76"/>
      <c r="BI336" s="76"/>
      <c r="BJ336" s="76"/>
      <c r="BK336" s="80"/>
      <c r="BM336" s="125">
        <f t="shared" si="940"/>
        <v>0</v>
      </c>
      <c r="BN336" s="126">
        <f t="shared" si="941"/>
        <v>0</v>
      </c>
      <c r="BO336" s="126">
        <f t="shared" si="942"/>
        <v>4</v>
      </c>
      <c r="BP336" s="126">
        <f t="shared" si="943"/>
        <v>0</v>
      </c>
      <c r="BQ336" s="126">
        <f>SUM(AT336:AY336)</f>
        <v>0</v>
      </c>
      <c r="BR336" s="126">
        <f t="shared" si="944"/>
        <v>0</v>
      </c>
      <c r="BS336" s="127">
        <f t="shared" si="945"/>
        <v>0</v>
      </c>
      <c r="BT336" s="74"/>
      <c r="BU336" s="125">
        <f t="shared" si="946"/>
        <v>0</v>
      </c>
      <c r="BV336" s="126">
        <f t="shared" si="947"/>
        <v>0</v>
      </c>
      <c r="BW336" s="126">
        <f t="shared" si="948"/>
        <v>2</v>
      </c>
      <c r="BX336" s="126">
        <f t="shared" si="949"/>
        <v>0</v>
      </c>
      <c r="BY336" s="126">
        <f t="shared" si="950"/>
        <v>0</v>
      </c>
      <c r="BZ336" s="126">
        <f t="shared" si="950"/>
        <v>0</v>
      </c>
      <c r="CA336" s="126">
        <f t="shared" si="950"/>
        <v>0</v>
      </c>
    </row>
    <row r="337" spans="1:79">
      <c r="A337" s="147" t="str">
        <f t="shared" si="933"/>
        <v>D</v>
      </c>
      <c r="B337" s="148">
        <f t="shared" si="934"/>
        <v>70000</v>
      </c>
      <c r="C337" s="149" t="s">
        <v>251</v>
      </c>
      <c r="D337" s="150" t="s">
        <v>0</v>
      </c>
      <c r="E337" s="150" t="s">
        <v>0</v>
      </c>
      <c r="F337" s="145" t="s">
        <v>256</v>
      </c>
      <c r="G337" s="150" t="s">
        <v>0</v>
      </c>
      <c r="H337" s="150" t="s">
        <v>0</v>
      </c>
      <c r="I337" s="150" t="s">
        <v>0</v>
      </c>
      <c r="J337" s="151" t="s">
        <v>253</v>
      </c>
      <c r="K337" s="13">
        <v>10</v>
      </c>
      <c r="L337" s="12" t="s">
        <v>56</v>
      </c>
      <c r="M337" s="13">
        <v>0.1</v>
      </c>
      <c r="N337" s="13">
        <v>0</v>
      </c>
      <c r="O337" s="14">
        <v>0.1</v>
      </c>
      <c r="P337" s="113">
        <f t="shared" si="935"/>
        <v>10</v>
      </c>
      <c r="Q337" s="114">
        <f t="shared" si="936"/>
        <v>0</v>
      </c>
      <c r="R337" s="114">
        <f t="shared" si="937"/>
        <v>0.1</v>
      </c>
      <c r="S337" s="114">
        <f t="shared" si="938"/>
        <v>0</v>
      </c>
      <c r="T337" s="93">
        <f t="shared" si="939"/>
        <v>1</v>
      </c>
      <c r="U337" t="s">
        <v>0</v>
      </c>
      <c r="V337" s="79"/>
      <c r="W337" s="76"/>
      <c r="X337" s="76"/>
      <c r="Y337" s="76"/>
      <c r="Z337" s="76"/>
      <c r="AA337" s="80"/>
      <c r="AB337" s="79"/>
      <c r="AC337" s="76"/>
      <c r="AD337" s="76"/>
      <c r="AE337" s="76"/>
      <c r="AF337" s="76"/>
      <c r="AG337" s="80"/>
      <c r="AH337" s="79"/>
      <c r="AI337" s="76"/>
      <c r="AJ337" s="76">
        <v>9</v>
      </c>
      <c r="AK337" s="76"/>
      <c r="AL337" s="76"/>
      <c r="AM337" s="80"/>
      <c r="AN337" s="79"/>
      <c r="AO337" s="76"/>
      <c r="AP337" s="76"/>
      <c r="AQ337" s="76"/>
      <c r="AR337" s="76"/>
      <c r="AS337" s="80"/>
      <c r="AT337" s="79"/>
      <c r="AU337" s="76"/>
      <c r="AV337" s="76"/>
      <c r="AW337" s="76"/>
      <c r="AX337" s="76"/>
      <c r="AY337" s="80">
        <v>1</v>
      </c>
      <c r="AZ337" s="79"/>
      <c r="BA337" s="76"/>
      <c r="BB337" s="76"/>
      <c r="BC337" s="76"/>
      <c r="BD337" s="76"/>
      <c r="BE337" s="80"/>
      <c r="BF337" s="79"/>
      <c r="BG337" s="76"/>
      <c r="BH337" s="76"/>
      <c r="BI337" s="76"/>
      <c r="BJ337" s="76"/>
      <c r="BK337" s="80"/>
      <c r="BM337" s="125">
        <f t="shared" si="940"/>
        <v>0</v>
      </c>
      <c r="BN337" s="126">
        <f t="shared" si="941"/>
        <v>0</v>
      </c>
      <c r="BO337" s="126">
        <f t="shared" si="942"/>
        <v>9</v>
      </c>
      <c r="BP337" s="126">
        <f t="shared" si="943"/>
        <v>0</v>
      </c>
      <c r="BQ337" s="126">
        <f>SUM(AT337:AY337)</f>
        <v>1</v>
      </c>
      <c r="BR337" s="126">
        <f t="shared" si="944"/>
        <v>0</v>
      </c>
      <c r="BS337" s="127">
        <f t="shared" si="945"/>
        <v>0</v>
      </c>
      <c r="BT337" s="74"/>
      <c r="BU337" s="125">
        <f t="shared" si="946"/>
        <v>0</v>
      </c>
      <c r="BV337" s="126">
        <f t="shared" si="947"/>
        <v>0</v>
      </c>
      <c r="BW337" s="126">
        <f t="shared" si="948"/>
        <v>9.0000000000000011E-2</v>
      </c>
      <c r="BX337" s="126">
        <f t="shared" si="949"/>
        <v>0</v>
      </c>
      <c r="BY337" s="126">
        <f t="shared" si="950"/>
        <v>1.0000000000000002E-2</v>
      </c>
      <c r="BZ337" s="126">
        <f t="shared" si="950"/>
        <v>0</v>
      </c>
      <c r="CA337" s="126">
        <f t="shared" si="950"/>
        <v>0</v>
      </c>
    </row>
    <row r="338" spans="1:79" ht="15.75">
      <c r="A338" s="152" t="str">
        <f t="shared" si="933"/>
        <v>P</v>
      </c>
      <c r="B338" s="153">
        <f t="shared" si="934"/>
        <v>70000</v>
      </c>
      <c r="C338" s="154" t="s">
        <v>257</v>
      </c>
      <c r="D338" s="155" t="s">
        <v>0</v>
      </c>
      <c r="E338" s="155" t="s">
        <v>0</v>
      </c>
      <c r="F338" s="156" t="s">
        <v>258</v>
      </c>
      <c r="G338" s="155" t="s">
        <v>0</v>
      </c>
      <c r="H338" s="155" t="s">
        <v>0</v>
      </c>
      <c r="I338" s="155" t="s">
        <v>0</v>
      </c>
      <c r="J338" s="157" t="s">
        <v>253</v>
      </c>
      <c r="K338" s="9">
        <v>20</v>
      </c>
      <c r="L338" s="8" t="s">
        <v>56</v>
      </c>
      <c r="M338" s="9">
        <v>24.3</v>
      </c>
      <c r="N338" s="9">
        <v>0.8</v>
      </c>
      <c r="O338" s="10">
        <v>25.1</v>
      </c>
      <c r="P338" s="111"/>
      <c r="Q338" s="112"/>
      <c r="R338" s="112">
        <f>SUMIFS(R339:R$415,$C339:$C$415,$C338)</f>
        <v>25.1</v>
      </c>
      <c r="S338" s="112">
        <f>SUMIFS(S339:S$415,$C339:$C$415,$C338)</f>
        <v>0</v>
      </c>
      <c r="T338" s="92">
        <f>R338/O338</f>
        <v>1</v>
      </c>
      <c r="V338" s="77"/>
      <c r="W338" s="75"/>
      <c r="X338" s="75"/>
      <c r="Y338" s="75"/>
      <c r="Z338" s="75"/>
      <c r="AA338" s="78"/>
      <c r="AB338" s="77"/>
      <c r="AC338" s="75"/>
      <c r="AD338" s="75"/>
      <c r="AE338" s="75"/>
      <c r="AF338" s="75"/>
      <c r="AG338" s="78"/>
      <c r="AH338" s="77"/>
      <c r="AI338" s="75"/>
      <c r="AJ338" s="75"/>
      <c r="AK338" s="75"/>
      <c r="AL338" s="75"/>
      <c r="AM338" s="78"/>
      <c r="AN338" s="77"/>
      <c r="AO338" s="75"/>
      <c r="AP338" s="75"/>
      <c r="AQ338" s="75"/>
      <c r="AR338" s="75"/>
      <c r="AS338" s="78"/>
      <c r="AT338" s="77"/>
      <c r="AU338" s="75"/>
      <c r="AV338" s="75"/>
      <c r="AW338" s="75"/>
      <c r="AX338" s="75"/>
      <c r="AY338" s="78"/>
      <c r="AZ338" s="77"/>
      <c r="BA338" s="75"/>
      <c r="BB338" s="75"/>
      <c r="BC338" s="75"/>
      <c r="BD338" s="75"/>
      <c r="BE338" s="78"/>
      <c r="BF338" s="77"/>
      <c r="BG338" s="75"/>
      <c r="BH338" s="75"/>
      <c r="BI338" s="75"/>
      <c r="BJ338" s="75"/>
      <c r="BK338" s="78"/>
      <c r="BM338" s="122"/>
      <c r="BN338" s="123"/>
      <c r="BO338" s="123"/>
      <c r="BP338" s="123"/>
      <c r="BQ338" s="123"/>
      <c r="BR338" s="123"/>
      <c r="BS338" s="124"/>
      <c r="BT338" s="74"/>
      <c r="BU338" s="122"/>
      <c r="BV338" s="123"/>
      <c r="BW338" s="123"/>
      <c r="BX338" s="123"/>
      <c r="BY338" s="123"/>
      <c r="BZ338" s="123"/>
      <c r="CA338" s="123"/>
    </row>
    <row r="339" spans="1:79">
      <c r="A339" s="147" t="str">
        <f t="shared" si="933"/>
        <v>D</v>
      </c>
      <c r="B339" s="148">
        <f t="shared" si="934"/>
        <v>70000</v>
      </c>
      <c r="C339" s="149" t="s">
        <v>257</v>
      </c>
      <c r="D339" s="150" t="s">
        <v>0</v>
      </c>
      <c r="E339" s="150" t="s">
        <v>0</v>
      </c>
      <c r="F339" s="145" t="s">
        <v>222</v>
      </c>
      <c r="G339" s="150" t="s">
        <v>0</v>
      </c>
      <c r="H339" s="150" t="s">
        <v>0</v>
      </c>
      <c r="I339" s="150" t="s">
        <v>0</v>
      </c>
      <c r="J339" s="151" t="s">
        <v>253</v>
      </c>
      <c r="K339" s="13">
        <v>20</v>
      </c>
      <c r="L339" s="12" t="s">
        <v>56</v>
      </c>
      <c r="M339" s="13">
        <v>4</v>
      </c>
      <c r="N339" s="13">
        <v>0</v>
      </c>
      <c r="O339" s="14">
        <v>4</v>
      </c>
      <c r="P339" s="113">
        <f t="shared" ref="P339:P344" si="951">SUM(BM339:BS339)</f>
        <v>20</v>
      </c>
      <c r="Q339" s="114">
        <f t="shared" ref="Q339:Q344" si="952">K339-P339</f>
        <v>0</v>
      </c>
      <c r="R339" s="114">
        <f t="shared" ref="R339:R344" si="953">SUM(BU339:CA339)</f>
        <v>4</v>
      </c>
      <c r="S339" s="114">
        <f t="shared" ref="S339:S344" si="954">O339-R339</f>
        <v>0</v>
      </c>
      <c r="T339" s="93">
        <f t="shared" ref="T339:T344" si="955">R339/O339</f>
        <v>1</v>
      </c>
      <c r="U339" t="s">
        <v>0</v>
      </c>
      <c r="V339" s="79"/>
      <c r="W339" s="76"/>
      <c r="X339" s="76"/>
      <c r="Y339" s="76"/>
      <c r="Z339" s="76"/>
      <c r="AA339" s="80"/>
      <c r="AB339" s="79"/>
      <c r="AC339" s="76"/>
      <c r="AD339" s="76"/>
      <c r="AE339" s="76"/>
      <c r="AF339" s="76"/>
      <c r="AG339" s="80"/>
      <c r="AH339" s="79"/>
      <c r="AI339" s="76"/>
      <c r="AJ339" s="76"/>
      <c r="AK339" s="76"/>
      <c r="AL339" s="76"/>
      <c r="AM339" s="80"/>
      <c r="AN339" s="79"/>
      <c r="AO339" s="76">
        <v>20</v>
      </c>
      <c r="AP339" s="76"/>
      <c r="AQ339" s="76"/>
      <c r="AR339" s="76"/>
      <c r="AS339" s="80"/>
      <c r="AT339" s="79"/>
      <c r="AU339" s="76"/>
      <c r="AV339" s="76"/>
      <c r="AW339" s="76"/>
      <c r="AX339" s="76"/>
      <c r="AY339" s="80"/>
      <c r="AZ339" s="79"/>
      <c r="BA339" s="76"/>
      <c r="BB339" s="76"/>
      <c r="BC339" s="76"/>
      <c r="BD339" s="76"/>
      <c r="BE339" s="80"/>
      <c r="BF339" s="79"/>
      <c r="BG339" s="76"/>
      <c r="BH339" s="76"/>
      <c r="BI339" s="76"/>
      <c r="BJ339" s="76"/>
      <c r="BK339" s="80"/>
      <c r="BM339" s="125">
        <f t="shared" ref="BM339:BM344" si="956">SUM(V339:AA339)</f>
        <v>0</v>
      </c>
      <c r="BN339" s="126">
        <f t="shared" ref="BN339:BN344" si="957">SUM(AB339:AG339)</f>
        <v>0</v>
      </c>
      <c r="BO339" s="126">
        <f t="shared" ref="BO339:BO344" si="958">SUM(AH339:AM339)</f>
        <v>0</v>
      </c>
      <c r="BP339" s="126">
        <f t="shared" ref="BP339:BP344" si="959">SUM(AN339:AS339)</f>
        <v>20</v>
      </c>
      <c r="BQ339" s="126">
        <f>SUM(AT339:AY339)</f>
        <v>0</v>
      </c>
      <c r="BR339" s="126">
        <f t="shared" ref="BR339:BS344" si="960">SUM(AZ339:BE339)</f>
        <v>0</v>
      </c>
      <c r="BS339" s="127">
        <f t="shared" ref="BS339:BS344" si="961">SUM(BF339:BK339)</f>
        <v>0</v>
      </c>
      <c r="BT339" s="74"/>
      <c r="BU339" s="125">
        <f t="shared" ref="BU339:BU344" si="962">(BM339/$K339)*$O339</f>
        <v>0</v>
      </c>
      <c r="BV339" s="126">
        <f t="shared" ref="BV339:BV344" si="963">(BN339/$K339)*$O339</f>
        <v>0</v>
      </c>
      <c r="BW339" s="126">
        <f t="shared" ref="BW339:BW344" si="964">(BO339/$K339)*$O339</f>
        <v>0</v>
      </c>
      <c r="BX339" s="126">
        <f t="shared" ref="BX339:BX344" si="965">(BP339/$K339)*$O339</f>
        <v>4</v>
      </c>
      <c r="BY339" s="126">
        <f t="shared" ref="BY339:CA344" si="966">(BQ339/$K339)*$O339</f>
        <v>0</v>
      </c>
      <c r="BZ339" s="126">
        <f t="shared" si="966"/>
        <v>0</v>
      </c>
      <c r="CA339" s="126">
        <f t="shared" si="966"/>
        <v>0</v>
      </c>
    </row>
    <row r="340" spans="1:79">
      <c r="A340" s="147" t="str">
        <f t="shared" si="933"/>
        <v>D</v>
      </c>
      <c r="B340" s="148">
        <f t="shared" si="934"/>
        <v>70000</v>
      </c>
      <c r="C340" s="149" t="s">
        <v>257</v>
      </c>
      <c r="D340" s="150" t="s">
        <v>0</v>
      </c>
      <c r="E340" s="150" t="s">
        <v>0</v>
      </c>
      <c r="F340" s="145" t="s">
        <v>213</v>
      </c>
      <c r="G340" s="150" t="s">
        <v>0</v>
      </c>
      <c r="H340" s="150" t="s">
        <v>0</v>
      </c>
      <c r="I340" s="150" t="s">
        <v>0</v>
      </c>
      <c r="J340" s="151" t="s">
        <v>253</v>
      </c>
      <c r="K340" s="13">
        <v>1</v>
      </c>
      <c r="L340" s="12" t="s">
        <v>32</v>
      </c>
      <c r="M340" s="13">
        <v>0.8</v>
      </c>
      <c r="N340" s="13">
        <v>0.8</v>
      </c>
      <c r="O340" s="14">
        <v>1.6</v>
      </c>
      <c r="P340" s="113">
        <f t="shared" si="951"/>
        <v>1</v>
      </c>
      <c r="Q340" s="114">
        <f t="shared" si="952"/>
        <v>0</v>
      </c>
      <c r="R340" s="114">
        <f t="shared" si="953"/>
        <v>1.6</v>
      </c>
      <c r="S340" s="114">
        <f t="shared" si="954"/>
        <v>0</v>
      </c>
      <c r="T340" s="93">
        <f t="shared" si="955"/>
        <v>1</v>
      </c>
      <c r="U340" t="s">
        <v>0</v>
      </c>
      <c r="V340" s="79"/>
      <c r="W340" s="76"/>
      <c r="X340" s="76"/>
      <c r="Y340" s="76"/>
      <c r="Z340" s="76"/>
      <c r="AA340" s="80"/>
      <c r="AB340" s="79"/>
      <c r="AC340" s="76"/>
      <c r="AD340" s="76"/>
      <c r="AE340" s="76"/>
      <c r="AF340" s="76"/>
      <c r="AG340" s="80"/>
      <c r="AH340" s="79"/>
      <c r="AI340" s="76"/>
      <c r="AJ340" s="76"/>
      <c r="AK340" s="76"/>
      <c r="AL340" s="76"/>
      <c r="AM340" s="80"/>
      <c r="AN340" s="79"/>
      <c r="AO340" s="76">
        <v>1</v>
      </c>
      <c r="AP340" s="76"/>
      <c r="AQ340" s="76"/>
      <c r="AR340" s="76"/>
      <c r="AS340" s="80"/>
      <c r="AT340" s="79"/>
      <c r="AU340" s="76"/>
      <c r="AV340" s="76"/>
      <c r="AW340" s="76"/>
      <c r="AX340" s="76"/>
      <c r="AY340" s="80"/>
      <c r="AZ340" s="79"/>
      <c r="BA340" s="76"/>
      <c r="BB340" s="76"/>
      <c r="BC340" s="76"/>
      <c r="BD340" s="76"/>
      <c r="BE340" s="80"/>
      <c r="BF340" s="79"/>
      <c r="BG340" s="76"/>
      <c r="BH340" s="76"/>
      <c r="BI340" s="76"/>
      <c r="BJ340" s="76"/>
      <c r="BK340" s="80"/>
      <c r="BM340" s="125">
        <f t="shared" si="956"/>
        <v>0</v>
      </c>
      <c r="BN340" s="126">
        <f t="shared" si="957"/>
        <v>0</v>
      </c>
      <c r="BO340" s="126">
        <f t="shared" si="958"/>
        <v>0</v>
      </c>
      <c r="BP340" s="126">
        <f t="shared" si="959"/>
        <v>1</v>
      </c>
      <c r="BQ340" s="126">
        <f>SUM(AT340:AY340)</f>
        <v>0</v>
      </c>
      <c r="BR340" s="126">
        <f t="shared" si="960"/>
        <v>0</v>
      </c>
      <c r="BS340" s="127">
        <f t="shared" si="961"/>
        <v>0</v>
      </c>
      <c r="BT340" s="74"/>
      <c r="BU340" s="125">
        <f t="shared" si="962"/>
        <v>0</v>
      </c>
      <c r="BV340" s="126">
        <f t="shared" si="963"/>
        <v>0</v>
      </c>
      <c r="BW340" s="126">
        <f t="shared" si="964"/>
        <v>0</v>
      </c>
      <c r="BX340" s="126">
        <f t="shared" si="965"/>
        <v>1.6</v>
      </c>
      <c r="BY340" s="126">
        <f t="shared" si="966"/>
        <v>0</v>
      </c>
      <c r="BZ340" s="126">
        <f t="shared" si="966"/>
        <v>0</v>
      </c>
      <c r="CA340" s="126">
        <f t="shared" si="966"/>
        <v>0</v>
      </c>
    </row>
    <row r="341" spans="1:79">
      <c r="A341" s="147" t="str">
        <f t="shared" si="933"/>
        <v>D</v>
      </c>
      <c r="B341" s="148">
        <f t="shared" si="934"/>
        <v>70000</v>
      </c>
      <c r="C341" s="149" t="s">
        <v>257</v>
      </c>
      <c r="D341" s="150" t="s">
        <v>0</v>
      </c>
      <c r="E341" s="150" t="s">
        <v>0</v>
      </c>
      <c r="F341" s="145" t="s">
        <v>194</v>
      </c>
      <c r="G341" s="150" t="s">
        <v>0</v>
      </c>
      <c r="H341" s="150" t="s">
        <v>0</v>
      </c>
      <c r="I341" s="150" t="s">
        <v>0</v>
      </c>
      <c r="J341" s="151" t="s">
        <v>253</v>
      </c>
      <c r="K341" s="13">
        <v>9</v>
      </c>
      <c r="L341" s="12" t="s">
        <v>32</v>
      </c>
      <c r="M341" s="13">
        <v>9</v>
      </c>
      <c r="N341" s="13">
        <v>0</v>
      </c>
      <c r="O341" s="14">
        <v>9</v>
      </c>
      <c r="P341" s="113">
        <f t="shared" si="951"/>
        <v>9</v>
      </c>
      <c r="Q341" s="114">
        <f t="shared" si="952"/>
        <v>0</v>
      </c>
      <c r="R341" s="114">
        <f t="shared" si="953"/>
        <v>9</v>
      </c>
      <c r="S341" s="114">
        <f t="shared" si="954"/>
        <v>0</v>
      </c>
      <c r="T341" s="93">
        <f t="shared" si="955"/>
        <v>1</v>
      </c>
      <c r="U341" t="s">
        <v>0</v>
      </c>
      <c r="V341" s="79"/>
      <c r="W341" s="76"/>
      <c r="X341" s="76"/>
      <c r="Y341" s="76"/>
      <c r="Z341" s="76"/>
      <c r="AA341" s="80"/>
      <c r="AB341" s="79"/>
      <c r="AC341" s="76"/>
      <c r="AD341" s="76"/>
      <c r="AE341" s="76"/>
      <c r="AF341" s="76"/>
      <c r="AG341" s="80"/>
      <c r="AH341" s="79"/>
      <c r="AI341" s="76"/>
      <c r="AJ341" s="76"/>
      <c r="AK341" s="76"/>
      <c r="AL341" s="76"/>
      <c r="AM341" s="80"/>
      <c r="AN341" s="79"/>
      <c r="AO341" s="76">
        <v>9</v>
      </c>
      <c r="AP341" s="76"/>
      <c r="AQ341" s="76"/>
      <c r="AR341" s="76"/>
      <c r="AS341" s="80"/>
      <c r="AT341" s="79"/>
      <c r="AU341" s="76"/>
      <c r="AV341" s="76"/>
      <c r="AW341" s="76"/>
      <c r="AX341" s="76"/>
      <c r="AY341" s="80"/>
      <c r="AZ341" s="79"/>
      <c r="BA341" s="76"/>
      <c r="BB341" s="76"/>
      <c r="BC341" s="76"/>
      <c r="BD341" s="76"/>
      <c r="BE341" s="80"/>
      <c r="BF341" s="79"/>
      <c r="BG341" s="76"/>
      <c r="BH341" s="76"/>
      <c r="BI341" s="76"/>
      <c r="BJ341" s="76"/>
      <c r="BK341" s="80"/>
      <c r="BM341" s="125">
        <f t="shared" si="956"/>
        <v>0</v>
      </c>
      <c r="BN341" s="126">
        <f t="shared" si="957"/>
        <v>0</v>
      </c>
      <c r="BO341" s="126">
        <f t="shared" si="958"/>
        <v>0</v>
      </c>
      <c r="BP341" s="126">
        <f t="shared" si="959"/>
        <v>9</v>
      </c>
      <c r="BQ341" s="126">
        <f>SUM(AT341:AY341)</f>
        <v>0</v>
      </c>
      <c r="BR341" s="126">
        <f t="shared" si="960"/>
        <v>0</v>
      </c>
      <c r="BS341" s="127">
        <f t="shared" si="961"/>
        <v>0</v>
      </c>
      <c r="BT341" s="74"/>
      <c r="BU341" s="125">
        <f t="shared" si="962"/>
        <v>0</v>
      </c>
      <c r="BV341" s="126">
        <f t="shared" si="963"/>
        <v>0</v>
      </c>
      <c r="BW341" s="126">
        <f t="shared" si="964"/>
        <v>0</v>
      </c>
      <c r="BX341" s="126">
        <f t="shared" si="965"/>
        <v>9</v>
      </c>
      <c r="BY341" s="126">
        <f t="shared" si="966"/>
        <v>0</v>
      </c>
      <c r="BZ341" s="126">
        <f t="shared" si="966"/>
        <v>0</v>
      </c>
      <c r="CA341" s="126">
        <f t="shared" si="966"/>
        <v>0</v>
      </c>
    </row>
    <row r="342" spans="1:79">
      <c r="A342" s="147" t="str">
        <f t="shared" si="933"/>
        <v>D</v>
      </c>
      <c r="B342" s="148">
        <f t="shared" si="934"/>
        <v>70000</v>
      </c>
      <c r="C342" s="149" t="s">
        <v>257</v>
      </c>
      <c r="D342" s="150" t="s">
        <v>0</v>
      </c>
      <c r="E342" s="150" t="s">
        <v>0</v>
      </c>
      <c r="F342" s="145" t="s">
        <v>223</v>
      </c>
      <c r="G342" s="150" t="s">
        <v>0</v>
      </c>
      <c r="H342" s="150" t="s">
        <v>0</v>
      </c>
      <c r="I342" s="150" t="s">
        <v>0</v>
      </c>
      <c r="J342" s="151" t="s">
        <v>253</v>
      </c>
      <c r="K342" s="13">
        <v>2</v>
      </c>
      <c r="L342" s="12" t="s">
        <v>32</v>
      </c>
      <c r="M342" s="13">
        <v>1.5</v>
      </c>
      <c r="N342" s="13">
        <v>0</v>
      </c>
      <c r="O342" s="14">
        <v>1.5</v>
      </c>
      <c r="P342" s="113">
        <f t="shared" si="951"/>
        <v>2</v>
      </c>
      <c r="Q342" s="114">
        <f t="shared" si="952"/>
        <v>0</v>
      </c>
      <c r="R342" s="114">
        <f t="shared" si="953"/>
        <v>1.5</v>
      </c>
      <c r="S342" s="114">
        <f t="shared" si="954"/>
        <v>0</v>
      </c>
      <c r="T342" s="93">
        <f t="shared" si="955"/>
        <v>1</v>
      </c>
      <c r="U342" t="s">
        <v>0</v>
      </c>
      <c r="V342" s="79"/>
      <c r="W342" s="76"/>
      <c r="X342" s="76"/>
      <c r="Y342" s="76"/>
      <c r="Z342" s="76"/>
      <c r="AA342" s="80"/>
      <c r="AB342" s="79"/>
      <c r="AC342" s="76"/>
      <c r="AD342" s="76"/>
      <c r="AE342" s="76"/>
      <c r="AF342" s="76"/>
      <c r="AG342" s="80"/>
      <c r="AH342" s="79"/>
      <c r="AI342" s="76"/>
      <c r="AJ342" s="76"/>
      <c r="AK342" s="76"/>
      <c r="AL342" s="76"/>
      <c r="AM342" s="80"/>
      <c r="AN342" s="79"/>
      <c r="AO342" s="76">
        <v>2</v>
      </c>
      <c r="AP342" s="76"/>
      <c r="AQ342" s="76"/>
      <c r="AR342" s="76"/>
      <c r="AS342" s="80"/>
      <c r="AT342" s="79"/>
      <c r="AU342" s="76"/>
      <c r="AV342" s="76"/>
      <c r="AW342" s="76"/>
      <c r="AX342" s="76"/>
      <c r="AY342" s="80"/>
      <c r="AZ342" s="79"/>
      <c r="BA342" s="76"/>
      <c r="BB342" s="76"/>
      <c r="BC342" s="76"/>
      <c r="BD342" s="76"/>
      <c r="BE342" s="80"/>
      <c r="BF342" s="79"/>
      <c r="BG342" s="76"/>
      <c r="BH342" s="76"/>
      <c r="BI342" s="76"/>
      <c r="BJ342" s="76"/>
      <c r="BK342" s="80"/>
      <c r="BM342" s="125">
        <f t="shared" si="956"/>
        <v>0</v>
      </c>
      <c r="BN342" s="126">
        <f t="shared" si="957"/>
        <v>0</v>
      </c>
      <c r="BO342" s="126">
        <f t="shared" si="958"/>
        <v>0</v>
      </c>
      <c r="BP342" s="126">
        <f t="shared" si="959"/>
        <v>2</v>
      </c>
      <c r="BQ342" s="126">
        <f>SUM(AT342:AY342)</f>
        <v>0</v>
      </c>
      <c r="BR342" s="126">
        <f t="shared" si="960"/>
        <v>0</v>
      </c>
      <c r="BS342" s="127">
        <f t="shared" si="961"/>
        <v>0</v>
      </c>
      <c r="BT342" s="74"/>
      <c r="BU342" s="125">
        <f t="shared" si="962"/>
        <v>0</v>
      </c>
      <c r="BV342" s="126">
        <f t="shared" si="963"/>
        <v>0</v>
      </c>
      <c r="BW342" s="126">
        <f t="shared" si="964"/>
        <v>0</v>
      </c>
      <c r="BX342" s="126">
        <f t="shared" si="965"/>
        <v>1.5</v>
      </c>
      <c r="BY342" s="126">
        <f t="shared" si="966"/>
        <v>0</v>
      </c>
      <c r="BZ342" s="126">
        <f t="shared" si="966"/>
        <v>0</v>
      </c>
      <c r="CA342" s="126">
        <f t="shared" si="966"/>
        <v>0</v>
      </c>
    </row>
    <row r="343" spans="1:79">
      <c r="A343" s="147" t="str">
        <f t="shared" si="933"/>
        <v>D</v>
      </c>
      <c r="B343" s="148">
        <f t="shared" si="934"/>
        <v>70000</v>
      </c>
      <c r="C343" s="149" t="s">
        <v>257</v>
      </c>
      <c r="D343" s="150" t="s">
        <v>0</v>
      </c>
      <c r="E343" s="150" t="s">
        <v>0</v>
      </c>
      <c r="F343" s="145" t="s">
        <v>259</v>
      </c>
      <c r="G343" s="150" t="s">
        <v>0</v>
      </c>
      <c r="H343" s="150" t="s">
        <v>0</v>
      </c>
      <c r="I343" s="150" t="s">
        <v>0</v>
      </c>
      <c r="J343" s="151" t="s">
        <v>253</v>
      </c>
      <c r="K343" s="13">
        <v>10</v>
      </c>
      <c r="L343" s="12" t="s">
        <v>32</v>
      </c>
      <c r="M343" s="13">
        <v>3</v>
      </c>
      <c r="N343" s="13">
        <v>0</v>
      </c>
      <c r="O343" s="14">
        <v>3</v>
      </c>
      <c r="P343" s="113">
        <f t="shared" si="951"/>
        <v>10</v>
      </c>
      <c r="Q343" s="114">
        <f t="shared" si="952"/>
        <v>0</v>
      </c>
      <c r="R343" s="114">
        <f t="shared" si="953"/>
        <v>3</v>
      </c>
      <c r="S343" s="114">
        <f t="shared" si="954"/>
        <v>0</v>
      </c>
      <c r="T343" s="93">
        <f t="shared" si="955"/>
        <v>1</v>
      </c>
      <c r="U343" t="s">
        <v>0</v>
      </c>
      <c r="V343" s="79"/>
      <c r="W343" s="76"/>
      <c r="X343" s="76"/>
      <c r="Y343" s="76"/>
      <c r="Z343" s="76"/>
      <c r="AA343" s="80"/>
      <c r="AB343" s="79"/>
      <c r="AC343" s="76"/>
      <c r="AD343" s="76"/>
      <c r="AE343" s="76"/>
      <c r="AF343" s="76"/>
      <c r="AG343" s="80"/>
      <c r="AH343" s="79"/>
      <c r="AI343" s="76"/>
      <c r="AJ343" s="76"/>
      <c r="AK343" s="76"/>
      <c r="AL343" s="76"/>
      <c r="AM343" s="80"/>
      <c r="AN343" s="79"/>
      <c r="AO343" s="76">
        <v>10</v>
      </c>
      <c r="AP343" s="76"/>
      <c r="AQ343" s="76"/>
      <c r="AR343" s="76"/>
      <c r="AS343" s="80"/>
      <c r="AT343" s="79"/>
      <c r="AU343" s="76"/>
      <c r="AV343" s="76"/>
      <c r="AW343" s="76"/>
      <c r="AX343" s="76"/>
      <c r="AY343" s="80"/>
      <c r="AZ343" s="79"/>
      <c r="BA343" s="76"/>
      <c r="BB343" s="76"/>
      <c r="BC343" s="76"/>
      <c r="BD343" s="76"/>
      <c r="BE343" s="80"/>
      <c r="BF343" s="79"/>
      <c r="BG343" s="76"/>
      <c r="BH343" s="76"/>
      <c r="BI343" s="76"/>
      <c r="BJ343" s="76"/>
      <c r="BK343" s="80"/>
      <c r="BM343" s="125">
        <f t="shared" si="956"/>
        <v>0</v>
      </c>
      <c r="BN343" s="126">
        <f t="shared" si="957"/>
        <v>0</v>
      </c>
      <c r="BO343" s="126">
        <f t="shared" si="958"/>
        <v>0</v>
      </c>
      <c r="BP343" s="126">
        <f t="shared" si="959"/>
        <v>10</v>
      </c>
      <c r="BQ343" s="126">
        <f>SUM(AT343:AY343)</f>
        <v>0</v>
      </c>
      <c r="BR343" s="126">
        <f t="shared" si="960"/>
        <v>0</v>
      </c>
      <c r="BS343" s="127">
        <f t="shared" si="961"/>
        <v>0</v>
      </c>
      <c r="BT343" s="74"/>
      <c r="BU343" s="125">
        <f t="shared" si="962"/>
        <v>0</v>
      </c>
      <c r="BV343" s="126">
        <f t="shared" si="963"/>
        <v>0</v>
      </c>
      <c r="BW343" s="126">
        <f t="shared" si="964"/>
        <v>0</v>
      </c>
      <c r="BX343" s="126">
        <f t="shared" si="965"/>
        <v>3</v>
      </c>
      <c r="BY343" s="126">
        <f t="shared" si="966"/>
        <v>0</v>
      </c>
      <c r="BZ343" s="126">
        <f t="shared" si="966"/>
        <v>0</v>
      </c>
      <c r="CA343" s="126">
        <f t="shared" si="966"/>
        <v>0</v>
      </c>
    </row>
    <row r="344" spans="1:79">
      <c r="A344" s="147" t="str">
        <f t="shared" si="933"/>
        <v>D</v>
      </c>
      <c r="B344" s="148">
        <f t="shared" si="934"/>
        <v>70000</v>
      </c>
      <c r="C344" s="149" t="s">
        <v>257</v>
      </c>
      <c r="D344" s="150" t="s">
        <v>0</v>
      </c>
      <c r="E344" s="150" t="s">
        <v>0</v>
      </c>
      <c r="F344" s="145" t="s">
        <v>181</v>
      </c>
      <c r="G344" s="150" t="s">
        <v>0</v>
      </c>
      <c r="H344" s="150" t="s">
        <v>0</v>
      </c>
      <c r="I344" s="150" t="s">
        <v>0</v>
      </c>
      <c r="J344" s="151" t="s">
        <v>253</v>
      </c>
      <c r="K344" s="13">
        <v>3</v>
      </c>
      <c r="L344" s="12" t="s">
        <v>32</v>
      </c>
      <c r="M344" s="13">
        <v>6</v>
      </c>
      <c r="N344" s="13">
        <v>0</v>
      </c>
      <c r="O344" s="14">
        <v>6</v>
      </c>
      <c r="P344" s="113">
        <f t="shared" si="951"/>
        <v>3</v>
      </c>
      <c r="Q344" s="114">
        <f t="shared" si="952"/>
        <v>0</v>
      </c>
      <c r="R344" s="114">
        <f t="shared" si="953"/>
        <v>6</v>
      </c>
      <c r="S344" s="114">
        <f t="shared" si="954"/>
        <v>0</v>
      </c>
      <c r="T344" s="93">
        <f t="shared" si="955"/>
        <v>1</v>
      </c>
      <c r="U344" t="s">
        <v>0</v>
      </c>
      <c r="V344" s="79"/>
      <c r="W344" s="76"/>
      <c r="X344" s="76"/>
      <c r="Y344" s="76"/>
      <c r="Z344" s="76"/>
      <c r="AA344" s="80"/>
      <c r="AB344" s="79"/>
      <c r="AC344" s="76"/>
      <c r="AD344" s="76"/>
      <c r="AE344" s="76"/>
      <c r="AF344" s="76"/>
      <c r="AG344" s="80"/>
      <c r="AH344" s="79"/>
      <c r="AI344" s="76"/>
      <c r="AJ344" s="76"/>
      <c r="AK344" s="76"/>
      <c r="AL344" s="76"/>
      <c r="AM344" s="80"/>
      <c r="AN344" s="79"/>
      <c r="AO344" s="76">
        <v>3</v>
      </c>
      <c r="AP344" s="76"/>
      <c r="AQ344" s="76"/>
      <c r="AR344" s="76"/>
      <c r="AS344" s="80"/>
      <c r="AT344" s="79"/>
      <c r="AU344" s="76"/>
      <c r="AV344" s="76"/>
      <c r="AW344" s="76"/>
      <c r="AX344" s="76"/>
      <c r="AY344" s="80"/>
      <c r="AZ344" s="79"/>
      <c r="BA344" s="76"/>
      <c r="BB344" s="76"/>
      <c r="BC344" s="76"/>
      <c r="BD344" s="76"/>
      <c r="BE344" s="80"/>
      <c r="BF344" s="79"/>
      <c r="BG344" s="76"/>
      <c r="BH344" s="76"/>
      <c r="BI344" s="76"/>
      <c r="BJ344" s="76"/>
      <c r="BK344" s="80"/>
      <c r="BM344" s="125">
        <f t="shared" si="956"/>
        <v>0</v>
      </c>
      <c r="BN344" s="126">
        <f t="shared" si="957"/>
        <v>0</v>
      </c>
      <c r="BO344" s="126">
        <f t="shared" si="958"/>
        <v>0</v>
      </c>
      <c r="BP344" s="126">
        <f t="shared" si="959"/>
        <v>3</v>
      </c>
      <c r="BQ344" s="126">
        <f>SUM(AT344:AY344)</f>
        <v>0</v>
      </c>
      <c r="BR344" s="126">
        <f t="shared" si="960"/>
        <v>0</v>
      </c>
      <c r="BS344" s="127">
        <f t="shared" si="961"/>
        <v>0</v>
      </c>
      <c r="BT344" s="74"/>
      <c r="BU344" s="125">
        <f t="shared" si="962"/>
        <v>0</v>
      </c>
      <c r="BV344" s="126">
        <f t="shared" si="963"/>
        <v>0</v>
      </c>
      <c r="BW344" s="126">
        <f t="shared" si="964"/>
        <v>0</v>
      </c>
      <c r="BX344" s="126">
        <f t="shared" si="965"/>
        <v>6</v>
      </c>
      <c r="BY344" s="126">
        <f t="shared" si="966"/>
        <v>0</v>
      </c>
      <c r="BZ344" s="126">
        <f t="shared" si="966"/>
        <v>0</v>
      </c>
      <c r="CA344" s="126">
        <f t="shared" si="966"/>
        <v>0</v>
      </c>
    </row>
    <row r="345" spans="1:79" ht="15.75">
      <c r="A345" s="152" t="str">
        <f t="shared" si="933"/>
        <v>P</v>
      </c>
      <c r="B345" s="153">
        <f t="shared" si="934"/>
        <v>70000</v>
      </c>
      <c r="C345" s="154" t="s">
        <v>260</v>
      </c>
      <c r="D345" s="155" t="s">
        <v>0</v>
      </c>
      <c r="E345" s="155" t="s">
        <v>0</v>
      </c>
      <c r="F345" s="156" t="s">
        <v>261</v>
      </c>
      <c r="G345" s="155" t="s">
        <v>0</v>
      </c>
      <c r="H345" s="155" t="s">
        <v>0</v>
      </c>
      <c r="I345" s="155" t="s">
        <v>0</v>
      </c>
      <c r="J345" s="157" t="s">
        <v>54</v>
      </c>
      <c r="K345" s="11" t="s">
        <v>0</v>
      </c>
      <c r="L345" s="8" t="s">
        <v>0</v>
      </c>
      <c r="M345" s="9">
        <v>96.420000000000016</v>
      </c>
      <c r="N345" s="9">
        <v>0</v>
      </c>
      <c r="O345" s="10">
        <v>96.420000000000016</v>
      </c>
      <c r="P345" s="111"/>
      <c r="Q345" s="112"/>
      <c r="R345" s="112">
        <f>SUMIFS(R346:R$415,$C346:$C$415,$C345)</f>
        <v>96.420000000000016</v>
      </c>
      <c r="S345" s="112">
        <f>SUMIFS(S346:S$415,$C346:$C$415,$C345)</f>
        <v>0</v>
      </c>
      <c r="T345" s="92">
        <f>R345/O345</f>
        <v>1</v>
      </c>
      <c r="V345" s="77"/>
      <c r="W345" s="75"/>
      <c r="X345" s="75"/>
      <c r="Y345" s="75"/>
      <c r="Z345" s="75"/>
      <c r="AA345" s="78"/>
      <c r="AB345" s="77"/>
      <c r="AC345" s="75"/>
      <c r="AD345" s="75"/>
      <c r="AE345" s="75"/>
      <c r="AF345" s="75"/>
      <c r="AG345" s="78"/>
      <c r="AH345" s="77"/>
      <c r="AI345" s="75"/>
      <c r="AJ345" s="75"/>
      <c r="AK345" s="75"/>
      <c r="AL345" s="75"/>
      <c r="AM345" s="78"/>
      <c r="AN345" s="77"/>
      <c r="AO345" s="75"/>
      <c r="AP345" s="75"/>
      <c r="AQ345" s="75"/>
      <c r="AR345" s="75"/>
      <c r="AS345" s="78"/>
      <c r="AT345" s="77"/>
      <c r="AU345" s="75"/>
      <c r="AV345" s="75"/>
      <c r="AW345" s="75"/>
      <c r="AX345" s="75"/>
      <c r="AY345" s="78"/>
      <c r="AZ345" s="77"/>
      <c r="BA345" s="75"/>
      <c r="BB345" s="75"/>
      <c r="BC345" s="75"/>
      <c r="BD345" s="75"/>
      <c r="BE345" s="78"/>
      <c r="BF345" s="77"/>
      <c r="BG345" s="75"/>
      <c r="BH345" s="75"/>
      <c r="BI345" s="75"/>
      <c r="BJ345" s="75"/>
      <c r="BK345" s="78"/>
      <c r="BM345" s="122"/>
      <c r="BN345" s="123"/>
      <c r="BO345" s="123"/>
      <c r="BP345" s="123"/>
      <c r="BQ345" s="123"/>
      <c r="BR345" s="123"/>
      <c r="BS345" s="124"/>
      <c r="BT345" s="74"/>
      <c r="BU345" s="122"/>
      <c r="BV345" s="123"/>
      <c r="BW345" s="123"/>
      <c r="BX345" s="123"/>
      <c r="BY345" s="123"/>
      <c r="BZ345" s="123"/>
      <c r="CA345" s="123"/>
    </row>
    <row r="346" spans="1:79">
      <c r="A346" s="147" t="str">
        <f t="shared" si="933"/>
        <v>D</v>
      </c>
      <c r="B346" s="148">
        <f t="shared" si="934"/>
        <v>70000</v>
      </c>
      <c r="C346" s="149" t="s">
        <v>260</v>
      </c>
      <c r="D346" s="150" t="s">
        <v>0</v>
      </c>
      <c r="E346" s="150" t="s">
        <v>0</v>
      </c>
      <c r="F346" s="145" t="s">
        <v>262</v>
      </c>
      <c r="G346" s="150" t="s">
        <v>0</v>
      </c>
      <c r="H346" s="150" t="s">
        <v>0</v>
      </c>
      <c r="I346" s="150" t="s">
        <v>0</v>
      </c>
      <c r="J346" s="151" t="s">
        <v>54</v>
      </c>
      <c r="K346" s="13">
        <v>6</v>
      </c>
      <c r="L346" s="12" t="s">
        <v>56</v>
      </c>
      <c r="M346" s="13">
        <v>3.12</v>
      </c>
      <c r="N346" s="13">
        <v>0</v>
      </c>
      <c r="O346" s="14">
        <v>3.12</v>
      </c>
      <c r="P346" s="113">
        <f t="shared" ref="P346:P352" si="967">SUM(BM346:BS346)</f>
        <v>6</v>
      </c>
      <c r="Q346" s="114">
        <f t="shared" ref="Q346:Q352" si="968">K346-P346</f>
        <v>0</v>
      </c>
      <c r="R346" s="114">
        <f t="shared" ref="R346:R352" si="969">SUM(BU346:CA346)</f>
        <v>3.12</v>
      </c>
      <c r="S346" s="114">
        <f t="shared" ref="S346:S352" si="970">O346-R346</f>
        <v>0</v>
      </c>
      <c r="T346" s="93">
        <f t="shared" ref="T346:T352" si="971">R346/O346</f>
        <v>1</v>
      </c>
      <c r="U346" t="s">
        <v>0</v>
      </c>
      <c r="V346" s="79"/>
      <c r="W346" s="76"/>
      <c r="X346" s="76"/>
      <c r="Y346" s="76"/>
      <c r="Z346" s="76"/>
      <c r="AA346" s="80"/>
      <c r="AB346" s="79"/>
      <c r="AC346" s="76"/>
      <c r="AD346" s="76"/>
      <c r="AE346" s="76"/>
      <c r="AF346" s="76"/>
      <c r="AG346" s="80"/>
      <c r="AH346" s="79"/>
      <c r="AI346" s="76"/>
      <c r="AJ346" s="76"/>
      <c r="AK346" s="76"/>
      <c r="AL346" s="76"/>
      <c r="AM346" s="80">
        <v>6</v>
      </c>
      <c r="AN346" s="79"/>
      <c r="AO346" s="76"/>
      <c r="AP346" s="76"/>
      <c r="AQ346" s="76"/>
      <c r="AR346" s="76"/>
      <c r="AS346" s="80"/>
      <c r="AT346" s="79"/>
      <c r="AU346" s="76"/>
      <c r="AV346" s="76"/>
      <c r="AW346" s="76"/>
      <c r="AX346" s="76"/>
      <c r="AY346" s="80"/>
      <c r="AZ346" s="79"/>
      <c r="BA346" s="76"/>
      <c r="BB346" s="76"/>
      <c r="BC346" s="76"/>
      <c r="BD346" s="76"/>
      <c r="BE346" s="80"/>
      <c r="BF346" s="79"/>
      <c r="BG346" s="76"/>
      <c r="BH346" s="76"/>
      <c r="BI346" s="76"/>
      <c r="BJ346" s="76"/>
      <c r="BK346" s="80"/>
      <c r="BM346" s="125">
        <f t="shared" ref="BM346:BM352" si="972">SUM(V346:AA346)</f>
        <v>0</v>
      </c>
      <c r="BN346" s="126">
        <f t="shared" ref="BN346:BN352" si="973">SUM(AB346:AG346)</f>
        <v>0</v>
      </c>
      <c r="BO346" s="126">
        <f t="shared" ref="BO346:BO352" si="974">SUM(AH346:AM346)</f>
        <v>6</v>
      </c>
      <c r="BP346" s="126">
        <f t="shared" ref="BP346:BP352" si="975">SUM(AN346:AS346)</f>
        <v>0</v>
      </c>
      <c r="BQ346" s="126">
        <f>SUM(AT346:AY346)</f>
        <v>0</v>
      </c>
      <c r="BR346" s="126">
        <f t="shared" ref="BR346:BS352" si="976">SUM(AZ346:BE346)</f>
        <v>0</v>
      </c>
      <c r="BS346" s="127">
        <f t="shared" ref="BS346:BS352" si="977">SUM(BF346:BK346)</f>
        <v>0</v>
      </c>
      <c r="BT346" s="74"/>
      <c r="BU346" s="125">
        <f t="shared" ref="BU346:BU352" si="978">(BM346/$K346)*$O346</f>
        <v>0</v>
      </c>
      <c r="BV346" s="126">
        <f t="shared" ref="BV346:BV352" si="979">(BN346/$K346)*$O346</f>
        <v>0</v>
      </c>
      <c r="BW346" s="126">
        <f t="shared" ref="BW346:BW352" si="980">(BO346/$K346)*$O346</f>
        <v>3.12</v>
      </c>
      <c r="BX346" s="126">
        <f t="shared" ref="BX346:BX352" si="981">(BP346/$K346)*$O346</f>
        <v>0</v>
      </c>
      <c r="BY346" s="126">
        <f t="shared" ref="BY346:CA352" si="982">(BQ346/$K346)*$O346</f>
        <v>0</v>
      </c>
      <c r="BZ346" s="126">
        <f t="shared" si="982"/>
        <v>0</v>
      </c>
      <c r="CA346" s="126">
        <f t="shared" si="982"/>
        <v>0</v>
      </c>
    </row>
    <row r="347" spans="1:79">
      <c r="A347" s="147" t="str">
        <f t="shared" si="933"/>
        <v>D</v>
      </c>
      <c r="B347" s="148">
        <f t="shared" si="934"/>
        <v>70000</v>
      </c>
      <c r="C347" s="149" t="s">
        <v>260</v>
      </c>
      <c r="D347" s="150" t="s">
        <v>0</v>
      </c>
      <c r="E347" s="150" t="s">
        <v>0</v>
      </c>
      <c r="F347" s="145" t="s">
        <v>263</v>
      </c>
      <c r="G347" s="150" t="s">
        <v>0</v>
      </c>
      <c r="H347" s="150" t="s">
        <v>0</v>
      </c>
      <c r="I347" s="150" t="s">
        <v>0</v>
      </c>
      <c r="J347" s="151" t="s">
        <v>54</v>
      </c>
      <c r="K347" s="13">
        <v>13</v>
      </c>
      <c r="L347" s="12" t="s">
        <v>56</v>
      </c>
      <c r="M347" s="13">
        <v>5.2</v>
      </c>
      <c r="N347" s="13">
        <v>0</v>
      </c>
      <c r="O347" s="14">
        <v>5.2</v>
      </c>
      <c r="P347" s="113">
        <f t="shared" si="967"/>
        <v>13</v>
      </c>
      <c r="Q347" s="114">
        <f t="shared" si="968"/>
        <v>0</v>
      </c>
      <c r="R347" s="114">
        <f t="shared" si="969"/>
        <v>5.2</v>
      </c>
      <c r="S347" s="114">
        <f t="shared" si="970"/>
        <v>0</v>
      </c>
      <c r="T347" s="93">
        <f t="shared" si="971"/>
        <v>1</v>
      </c>
      <c r="U347" t="s">
        <v>0</v>
      </c>
      <c r="V347" s="79"/>
      <c r="W347" s="76"/>
      <c r="X347" s="76"/>
      <c r="Y347" s="76"/>
      <c r="Z347" s="76"/>
      <c r="AA347" s="80"/>
      <c r="AB347" s="79"/>
      <c r="AC347" s="76"/>
      <c r="AD347" s="76"/>
      <c r="AE347" s="76"/>
      <c r="AF347" s="76"/>
      <c r="AG347" s="80"/>
      <c r="AH347" s="79"/>
      <c r="AI347" s="76"/>
      <c r="AJ347" s="76"/>
      <c r="AK347" s="76"/>
      <c r="AL347" s="76"/>
      <c r="AM347" s="80">
        <v>13</v>
      </c>
      <c r="AN347" s="79"/>
      <c r="AO347" s="76"/>
      <c r="AP347" s="76"/>
      <c r="AQ347" s="76"/>
      <c r="AR347" s="76"/>
      <c r="AS347" s="80"/>
      <c r="AT347" s="79"/>
      <c r="AU347" s="76"/>
      <c r="AV347" s="76"/>
      <c r="AW347" s="76"/>
      <c r="AX347" s="76"/>
      <c r="AY347" s="80"/>
      <c r="AZ347" s="79"/>
      <c r="BA347" s="76"/>
      <c r="BB347" s="76"/>
      <c r="BC347" s="76"/>
      <c r="BD347" s="76"/>
      <c r="BE347" s="80"/>
      <c r="BF347" s="79"/>
      <c r="BG347" s="76"/>
      <c r="BH347" s="76"/>
      <c r="BI347" s="76"/>
      <c r="BJ347" s="76"/>
      <c r="BK347" s="80"/>
      <c r="BM347" s="125">
        <f t="shared" si="972"/>
        <v>0</v>
      </c>
      <c r="BN347" s="126">
        <f t="shared" si="973"/>
        <v>0</v>
      </c>
      <c r="BO347" s="126">
        <f t="shared" si="974"/>
        <v>13</v>
      </c>
      <c r="BP347" s="126">
        <f t="shared" si="975"/>
        <v>0</v>
      </c>
      <c r="BQ347" s="126">
        <f>SUM(AT347:AY347)</f>
        <v>0</v>
      </c>
      <c r="BR347" s="126">
        <f t="shared" si="976"/>
        <v>0</v>
      </c>
      <c r="BS347" s="127">
        <f t="shared" si="977"/>
        <v>0</v>
      </c>
      <c r="BT347" s="74"/>
      <c r="BU347" s="125">
        <f t="shared" si="978"/>
        <v>0</v>
      </c>
      <c r="BV347" s="126">
        <f t="shared" si="979"/>
        <v>0</v>
      </c>
      <c r="BW347" s="126">
        <f t="shared" si="980"/>
        <v>5.2</v>
      </c>
      <c r="BX347" s="126">
        <f t="shared" si="981"/>
        <v>0</v>
      </c>
      <c r="BY347" s="126">
        <f t="shared" si="982"/>
        <v>0</v>
      </c>
      <c r="BZ347" s="126">
        <f t="shared" si="982"/>
        <v>0</v>
      </c>
      <c r="CA347" s="126">
        <f t="shared" si="982"/>
        <v>0</v>
      </c>
    </row>
    <row r="348" spans="1:79">
      <c r="A348" s="147" t="str">
        <f t="shared" si="933"/>
        <v>D</v>
      </c>
      <c r="B348" s="148">
        <f t="shared" si="934"/>
        <v>70000</v>
      </c>
      <c r="C348" s="149" t="s">
        <v>260</v>
      </c>
      <c r="D348" s="150" t="s">
        <v>0</v>
      </c>
      <c r="E348" s="150" t="s">
        <v>0</v>
      </c>
      <c r="F348" s="145" t="s">
        <v>264</v>
      </c>
      <c r="G348" s="150" t="s">
        <v>0</v>
      </c>
      <c r="H348" s="150" t="s">
        <v>0</v>
      </c>
      <c r="I348" s="150" t="s">
        <v>0</v>
      </c>
      <c r="J348" s="151" t="s">
        <v>54</v>
      </c>
      <c r="K348" s="13">
        <v>60</v>
      </c>
      <c r="L348" s="12" t="s">
        <v>56</v>
      </c>
      <c r="M348" s="13">
        <v>18</v>
      </c>
      <c r="N348" s="13">
        <v>0</v>
      </c>
      <c r="O348" s="14">
        <v>18</v>
      </c>
      <c r="P348" s="113">
        <f t="shared" si="967"/>
        <v>60</v>
      </c>
      <c r="Q348" s="114">
        <f t="shared" si="968"/>
        <v>0</v>
      </c>
      <c r="R348" s="114">
        <f t="shared" si="969"/>
        <v>18</v>
      </c>
      <c r="S348" s="114">
        <f t="shared" si="970"/>
        <v>0</v>
      </c>
      <c r="T348" s="93">
        <f t="shared" si="971"/>
        <v>1</v>
      </c>
      <c r="U348" t="s">
        <v>0</v>
      </c>
      <c r="V348" s="79"/>
      <c r="W348" s="76"/>
      <c r="X348" s="76"/>
      <c r="Y348" s="76"/>
      <c r="Z348" s="76"/>
      <c r="AA348" s="80"/>
      <c r="AB348" s="79"/>
      <c r="AC348" s="76"/>
      <c r="AD348" s="76"/>
      <c r="AE348" s="76"/>
      <c r="AF348" s="76"/>
      <c r="AG348" s="80"/>
      <c r="AH348" s="79"/>
      <c r="AI348" s="76"/>
      <c r="AJ348" s="76"/>
      <c r="AK348" s="76"/>
      <c r="AL348" s="76"/>
      <c r="AM348" s="80">
        <v>60</v>
      </c>
      <c r="AN348" s="79"/>
      <c r="AO348" s="76"/>
      <c r="AP348" s="76"/>
      <c r="AQ348" s="76"/>
      <c r="AR348" s="76"/>
      <c r="AS348" s="80"/>
      <c r="AT348" s="79"/>
      <c r="AU348" s="76"/>
      <c r="AV348" s="76"/>
      <c r="AW348" s="76"/>
      <c r="AX348" s="76"/>
      <c r="AY348" s="80"/>
      <c r="AZ348" s="79"/>
      <c r="BA348" s="76"/>
      <c r="BB348" s="76"/>
      <c r="BC348" s="76"/>
      <c r="BD348" s="76"/>
      <c r="BE348" s="80"/>
      <c r="BF348" s="79"/>
      <c r="BG348" s="76"/>
      <c r="BH348" s="76"/>
      <c r="BI348" s="76"/>
      <c r="BJ348" s="76"/>
      <c r="BK348" s="80"/>
      <c r="BM348" s="125">
        <f t="shared" si="972"/>
        <v>0</v>
      </c>
      <c r="BN348" s="126">
        <f t="shared" si="973"/>
        <v>0</v>
      </c>
      <c r="BO348" s="126">
        <f t="shared" si="974"/>
        <v>60</v>
      </c>
      <c r="BP348" s="126">
        <f t="shared" si="975"/>
        <v>0</v>
      </c>
      <c r="BQ348" s="126">
        <f>SUM(AT348:AY348)</f>
        <v>0</v>
      </c>
      <c r="BR348" s="126">
        <f t="shared" si="976"/>
        <v>0</v>
      </c>
      <c r="BS348" s="127">
        <f t="shared" si="977"/>
        <v>0</v>
      </c>
      <c r="BT348" s="74"/>
      <c r="BU348" s="125">
        <f t="shared" si="978"/>
        <v>0</v>
      </c>
      <c r="BV348" s="126">
        <f t="shared" si="979"/>
        <v>0</v>
      </c>
      <c r="BW348" s="126">
        <f t="shared" si="980"/>
        <v>18</v>
      </c>
      <c r="BX348" s="126">
        <f t="shared" si="981"/>
        <v>0</v>
      </c>
      <c r="BY348" s="126">
        <f t="shared" si="982"/>
        <v>0</v>
      </c>
      <c r="BZ348" s="126">
        <f t="shared" si="982"/>
        <v>0</v>
      </c>
      <c r="CA348" s="126">
        <f t="shared" si="982"/>
        <v>0</v>
      </c>
    </row>
    <row r="349" spans="1:79">
      <c r="A349" s="147" t="str">
        <f t="shared" si="933"/>
        <v>D</v>
      </c>
      <c r="B349" s="148">
        <f t="shared" si="934"/>
        <v>70000</v>
      </c>
      <c r="C349" s="149" t="s">
        <v>260</v>
      </c>
      <c r="D349" s="150" t="s">
        <v>0</v>
      </c>
      <c r="E349" s="150" t="s">
        <v>0</v>
      </c>
      <c r="F349" s="145" t="s">
        <v>265</v>
      </c>
      <c r="G349" s="150" t="s">
        <v>0</v>
      </c>
      <c r="H349" s="150" t="s">
        <v>0</v>
      </c>
      <c r="I349" s="150" t="s">
        <v>0</v>
      </c>
      <c r="J349" s="151" t="s">
        <v>54</v>
      </c>
      <c r="K349" s="13">
        <v>31</v>
      </c>
      <c r="L349" s="12" t="s">
        <v>56</v>
      </c>
      <c r="M349" s="13">
        <v>6.2</v>
      </c>
      <c r="N349" s="13">
        <v>0</v>
      </c>
      <c r="O349" s="14">
        <v>6.2</v>
      </c>
      <c r="P349" s="113">
        <f t="shared" si="967"/>
        <v>31</v>
      </c>
      <c r="Q349" s="114">
        <f t="shared" si="968"/>
        <v>0</v>
      </c>
      <c r="R349" s="114">
        <f t="shared" si="969"/>
        <v>6.2</v>
      </c>
      <c r="S349" s="114">
        <f t="shared" si="970"/>
        <v>0</v>
      </c>
      <c r="T349" s="93">
        <f t="shared" si="971"/>
        <v>1</v>
      </c>
      <c r="U349" t="s">
        <v>0</v>
      </c>
      <c r="V349" s="79"/>
      <c r="W349" s="76"/>
      <c r="X349" s="76"/>
      <c r="Y349" s="76"/>
      <c r="Z349" s="76"/>
      <c r="AA349" s="80"/>
      <c r="AB349" s="79"/>
      <c r="AC349" s="76"/>
      <c r="AD349" s="76"/>
      <c r="AE349" s="76"/>
      <c r="AF349" s="76"/>
      <c r="AG349" s="80"/>
      <c r="AH349" s="79"/>
      <c r="AI349" s="76"/>
      <c r="AJ349" s="76"/>
      <c r="AK349" s="76"/>
      <c r="AL349" s="76"/>
      <c r="AM349" s="80">
        <v>31</v>
      </c>
      <c r="AN349" s="79"/>
      <c r="AO349" s="76"/>
      <c r="AP349" s="76"/>
      <c r="AQ349" s="76"/>
      <c r="AR349" s="76"/>
      <c r="AS349" s="80"/>
      <c r="AT349" s="79"/>
      <c r="AU349" s="76"/>
      <c r="AV349" s="76"/>
      <c r="AW349" s="76"/>
      <c r="AX349" s="76"/>
      <c r="AY349" s="80"/>
      <c r="AZ349" s="79"/>
      <c r="BA349" s="76"/>
      <c r="BB349" s="76"/>
      <c r="BC349" s="76"/>
      <c r="BD349" s="76"/>
      <c r="BE349" s="80"/>
      <c r="BF349" s="79"/>
      <c r="BG349" s="76"/>
      <c r="BH349" s="76"/>
      <c r="BI349" s="76"/>
      <c r="BJ349" s="76"/>
      <c r="BK349" s="80"/>
      <c r="BM349" s="125">
        <f t="shared" si="972"/>
        <v>0</v>
      </c>
      <c r="BN349" s="126">
        <f t="shared" si="973"/>
        <v>0</v>
      </c>
      <c r="BO349" s="126">
        <f t="shared" si="974"/>
        <v>31</v>
      </c>
      <c r="BP349" s="126">
        <f t="shared" si="975"/>
        <v>0</v>
      </c>
      <c r="BQ349" s="126">
        <f>SUM(AT349:AY349)</f>
        <v>0</v>
      </c>
      <c r="BR349" s="126">
        <f t="shared" si="976"/>
        <v>0</v>
      </c>
      <c r="BS349" s="127">
        <f t="shared" si="977"/>
        <v>0</v>
      </c>
      <c r="BT349" s="74"/>
      <c r="BU349" s="125">
        <f t="shared" si="978"/>
        <v>0</v>
      </c>
      <c r="BV349" s="126">
        <f t="shared" si="979"/>
        <v>0</v>
      </c>
      <c r="BW349" s="126">
        <f t="shared" si="980"/>
        <v>6.2</v>
      </c>
      <c r="BX349" s="126">
        <f t="shared" si="981"/>
        <v>0</v>
      </c>
      <c r="BY349" s="126">
        <f t="shared" si="982"/>
        <v>0</v>
      </c>
      <c r="BZ349" s="126">
        <f t="shared" si="982"/>
        <v>0</v>
      </c>
      <c r="CA349" s="126">
        <f t="shared" si="982"/>
        <v>0</v>
      </c>
    </row>
    <row r="350" spans="1:79">
      <c r="A350" s="147" t="str">
        <f t="shared" si="933"/>
        <v>D</v>
      </c>
      <c r="B350" s="148">
        <f t="shared" si="934"/>
        <v>70000</v>
      </c>
      <c r="C350" s="149" t="s">
        <v>260</v>
      </c>
      <c r="D350" s="150" t="s">
        <v>0</v>
      </c>
      <c r="E350" s="150" t="s">
        <v>0</v>
      </c>
      <c r="F350" s="145" t="s">
        <v>266</v>
      </c>
      <c r="G350" s="150" t="s">
        <v>0</v>
      </c>
      <c r="H350" s="150" t="s">
        <v>0</v>
      </c>
      <c r="I350" s="150" t="s">
        <v>0</v>
      </c>
      <c r="J350" s="151" t="s">
        <v>54</v>
      </c>
      <c r="K350" s="13">
        <v>261</v>
      </c>
      <c r="L350" s="12" t="s">
        <v>56</v>
      </c>
      <c r="M350" s="13">
        <v>41.76</v>
      </c>
      <c r="N350" s="13">
        <v>0</v>
      </c>
      <c r="O350" s="14">
        <v>41.76</v>
      </c>
      <c r="P350" s="113">
        <f t="shared" si="967"/>
        <v>261</v>
      </c>
      <c r="Q350" s="114">
        <f t="shared" si="968"/>
        <v>0</v>
      </c>
      <c r="R350" s="114">
        <f t="shared" si="969"/>
        <v>41.76</v>
      </c>
      <c r="S350" s="114">
        <f t="shared" si="970"/>
        <v>0</v>
      </c>
      <c r="T350" s="93">
        <f t="shared" si="971"/>
        <v>1</v>
      </c>
      <c r="U350" t="s">
        <v>0</v>
      </c>
      <c r="V350" s="79"/>
      <c r="W350" s="76"/>
      <c r="X350" s="76"/>
      <c r="Y350" s="76"/>
      <c r="Z350" s="76"/>
      <c r="AA350" s="80"/>
      <c r="AB350" s="79"/>
      <c r="AC350" s="76">
        <v>200</v>
      </c>
      <c r="AD350" s="76"/>
      <c r="AE350" s="76"/>
      <c r="AF350" s="76"/>
      <c r="AG350" s="80"/>
      <c r="AH350" s="79"/>
      <c r="AI350" s="76"/>
      <c r="AJ350" s="76">
        <v>50</v>
      </c>
      <c r="AK350" s="76"/>
      <c r="AL350" s="76"/>
      <c r="AM350" s="80"/>
      <c r="AN350" s="79"/>
      <c r="AO350" s="76">
        <v>11</v>
      </c>
      <c r="AP350" s="76"/>
      <c r="AQ350" s="76"/>
      <c r="AR350" s="76"/>
      <c r="AS350" s="80"/>
      <c r="AT350" s="79"/>
      <c r="AU350" s="76"/>
      <c r="AV350" s="76"/>
      <c r="AW350" s="76"/>
      <c r="AX350" s="76"/>
      <c r="AY350" s="80"/>
      <c r="AZ350" s="79"/>
      <c r="BA350" s="76"/>
      <c r="BB350" s="76"/>
      <c r="BC350" s="76"/>
      <c r="BD350" s="76"/>
      <c r="BE350" s="80"/>
      <c r="BF350" s="79"/>
      <c r="BG350" s="76"/>
      <c r="BH350" s="76"/>
      <c r="BI350" s="76"/>
      <c r="BJ350" s="76"/>
      <c r="BK350" s="80"/>
      <c r="BM350" s="125">
        <f t="shared" si="972"/>
        <v>0</v>
      </c>
      <c r="BN350" s="126">
        <f t="shared" si="973"/>
        <v>200</v>
      </c>
      <c r="BO350" s="126">
        <f t="shared" si="974"/>
        <v>50</v>
      </c>
      <c r="BP350" s="126">
        <f t="shared" si="975"/>
        <v>11</v>
      </c>
      <c r="BQ350" s="126">
        <f>SUM(AT350:AY350)</f>
        <v>0</v>
      </c>
      <c r="BR350" s="126">
        <f t="shared" si="976"/>
        <v>0</v>
      </c>
      <c r="BS350" s="127">
        <f t="shared" si="977"/>
        <v>0</v>
      </c>
      <c r="BT350" s="74"/>
      <c r="BU350" s="125">
        <f t="shared" si="978"/>
        <v>0</v>
      </c>
      <c r="BV350" s="126">
        <f t="shared" si="979"/>
        <v>32</v>
      </c>
      <c r="BW350" s="126">
        <f t="shared" si="980"/>
        <v>8</v>
      </c>
      <c r="BX350" s="126">
        <f t="shared" si="981"/>
        <v>1.76</v>
      </c>
      <c r="BY350" s="126">
        <f t="shared" si="982"/>
        <v>0</v>
      </c>
      <c r="BZ350" s="126">
        <f t="shared" si="982"/>
        <v>0</v>
      </c>
      <c r="CA350" s="126">
        <f t="shared" si="982"/>
        <v>0</v>
      </c>
    </row>
    <row r="351" spans="1:79">
      <c r="A351" s="147" t="str">
        <f t="shared" si="933"/>
        <v>D</v>
      </c>
      <c r="B351" s="148">
        <f t="shared" si="934"/>
        <v>70000</v>
      </c>
      <c r="C351" s="149" t="s">
        <v>260</v>
      </c>
      <c r="D351" s="150" t="s">
        <v>0</v>
      </c>
      <c r="E351" s="150" t="s">
        <v>0</v>
      </c>
      <c r="F351" s="145" t="s">
        <v>267</v>
      </c>
      <c r="G351" s="150" t="s">
        <v>0</v>
      </c>
      <c r="H351" s="150" t="s">
        <v>0</v>
      </c>
      <c r="I351" s="150" t="s">
        <v>0</v>
      </c>
      <c r="J351" s="151" t="s">
        <v>54</v>
      </c>
      <c r="K351" s="13">
        <v>42</v>
      </c>
      <c r="L351" s="12" t="s">
        <v>56</v>
      </c>
      <c r="M351" s="13">
        <v>5.04</v>
      </c>
      <c r="N351" s="13">
        <v>0</v>
      </c>
      <c r="O351" s="14">
        <v>5.04</v>
      </c>
      <c r="P351" s="113">
        <f t="shared" si="967"/>
        <v>42</v>
      </c>
      <c r="Q351" s="114">
        <f t="shared" si="968"/>
        <v>0</v>
      </c>
      <c r="R351" s="114">
        <f t="shared" si="969"/>
        <v>5.04</v>
      </c>
      <c r="S351" s="114">
        <f t="shared" si="970"/>
        <v>0</v>
      </c>
      <c r="T351" s="93">
        <f t="shared" si="971"/>
        <v>1</v>
      </c>
      <c r="U351" t="s">
        <v>0</v>
      </c>
      <c r="V351" s="79"/>
      <c r="W351" s="76"/>
      <c r="X351" s="76"/>
      <c r="Y351" s="76"/>
      <c r="Z351" s="76"/>
      <c r="AA351" s="80"/>
      <c r="AB351" s="79"/>
      <c r="AC351" s="76"/>
      <c r="AD351" s="76"/>
      <c r="AE351" s="76"/>
      <c r="AF351" s="76"/>
      <c r="AG351" s="80"/>
      <c r="AH351" s="79"/>
      <c r="AI351" s="76"/>
      <c r="AJ351" s="76">
        <v>10</v>
      </c>
      <c r="AK351" s="76"/>
      <c r="AL351" s="76"/>
      <c r="AM351" s="80"/>
      <c r="AN351" s="79"/>
      <c r="AO351" s="76">
        <v>32</v>
      </c>
      <c r="AP351" s="76"/>
      <c r="AQ351" s="76"/>
      <c r="AR351" s="76"/>
      <c r="AS351" s="80"/>
      <c r="AT351" s="79"/>
      <c r="AU351" s="76"/>
      <c r="AV351" s="76"/>
      <c r="AW351" s="76"/>
      <c r="AX351" s="76"/>
      <c r="AY351" s="80"/>
      <c r="AZ351" s="79"/>
      <c r="BA351" s="76"/>
      <c r="BB351" s="76"/>
      <c r="BC351" s="76"/>
      <c r="BD351" s="76"/>
      <c r="BE351" s="80"/>
      <c r="BF351" s="79"/>
      <c r="BG351" s="76"/>
      <c r="BH351" s="76"/>
      <c r="BI351" s="76"/>
      <c r="BJ351" s="76"/>
      <c r="BK351" s="80"/>
      <c r="BM351" s="125">
        <f t="shared" si="972"/>
        <v>0</v>
      </c>
      <c r="BN351" s="126">
        <f t="shared" si="973"/>
        <v>0</v>
      </c>
      <c r="BO351" s="126">
        <f t="shared" si="974"/>
        <v>10</v>
      </c>
      <c r="BP351" s="126">
        <f t="shared" si="975"/>
        <v>32</v>
      </c>
      <c r="BQ351" s="126">
        <f>SUM(AT351:AY351)</f>
        <v>0</v>
      </c>
      <c r="BR351" s="126">
        <f t="shared" si="976"/>
        <v>0</v>
      </c>
      <c r="BS351" s="127">
        <f t="shared" si="977"/>
        <v>0</v>
      </c>
      <c r="BT351" s="74"/>
      <c r="BU351" s="125">
        <f t="shared" si="978"/>
        <v>0</v>
      </c>
      <c r="BV351" s="126">
        <f t="shared" si="979"/>
        <v>0</v>
      </c>
      <c r="BW351" s="126">
        <f t="shared" si="980"/>
        <v>1.2</v>
      </c>
      <c r="BX351" s="126">
        <f t="shared" si="981"/>
        <v>3.84</v>
      </c>
      <c r="BY351" s="126">
        <f t="shared" si="982"/>
        <v>0</v>
      </c>
      <c r="BZ351" s="126">
        <f t="shared" si="982"/>
        <v>0</v>
      </c>
      <c r="CA351" s="126">
        <f t="shared" si="982"/>
        <v>0</v>
      </c>
    </row>
    <row r="352" spans="1:79">
      <c r="A352" s="147" t="str">
        <f t="shared" si="933"/>
        <v>D</v>
      </c>
      <c r="B352" s="148">
        <f t="shared" si="934"/>
        <v>70000</v>
      </c>
      <c r="C352" s="149" t="s">
        <v>260</v>
      </c>
      <c r="D352" s="150" t="s">
        <v>0</v>
      </c>
      <c r="E352" s="150" t="s">
        <v>0</v>
      </c>
      <c r="F352" s="145" t="s">
        <v>256</v>
      </c>
      <c r="G352" s="150" t="s">
        <v>0</v>
      </c>
      <c r="H352" s="150" t="s">
        <v>0</v>
      </c>
      <c r="I352" s="150" t="s">
        <v>0</v>
      </c>
      <c r="J352" s="151" t="s">
        <v>54</v>
      </c>
      <c r="K352" s="13">
        <v>171</v>
      </c>
      <c r="L352" s="12" t="s">
        <v>56</v>
      </c>
      <c r="M352" s="13">
        <v>17.100000000000001</v>
      </c>
      <c r="N352" s="13">
        <v>0</v>
      </c>
      <c r="O352" s="14">
        <v>17.100000000000001</v>
      </c>
      <c r="P352" s="113">
        <f t="shared" si="967"/>
        <v>171</v>
      </c>
      <c r="Q352" s="114">
        <f t="shared" si="968"/>
        <v>0</v>
      </c>
      <c r="R352" s="114">
        <f t="shared" si="969"/>
        <v>17.100000000000001</v>
      </c>
      <c r="S352" s="114">
        <f t="shared" si="970"/>
        <v>0</v>
      </c>
      <c r="T352" s="93">
        <f t="shared" si="971"/>
        <v>1</v>
      </c>
      <c r="U352" t="s">
        <v>0</v>
      </c>
      <c r="V352" s="79"/>
      <c r="W352" s="76"/>
      <c r="X352" s="76"/>
      <c r="Y352" s="76"/>
      <c r="Z352" s="76"/>
      <c r="AA352" s="80"/>
      <c r="AB352" s="79"/>
      <c r="AC352" s="76">
        <v>100</v>
      </c>
      <c r="AD352" s="76"/>
      <c r="AE352" s="76"/>
      <c r="AF352" s="76"/>
      <c r="AG352" s="80"/>
      <c r="AH352" s="79"/>
      <c r="AI352" s="76"/>
      <c r="AJ352" s="76">
        <v>9</v>
      </c>
      <c r="AK352" s="76"/>
      <c r="AL352" s="76"/>
      <c r="AM352" s="80"/>
      <c r="AN352" s="79"/>
      <c r="AO352" s="76">
        <v>62</v>
      </c>
      <c r="AP352" s="76"/>
      <c r="AQ352" s="76"/>
      <c r="AR352" s="76"/>
      <c r="AS352" s="80"/>
      <c r="AT352" s="79"/>
      <c r="AU352" s="76"/>
      <c r="AV352" s="76"/>
      <c r="AW352" s="76"/>
      <c r="AX352" s="76"/>
      <c r="AY352" s="80"/>
      <c r="AZ352" s="79"/>
      <c r="BA352" s="76"/>
      <c r="BB352" s="76"/>
      <c r="BC352" s="76"/>
      <c r="BD352" s="76"/>
      <c r="BE352" s="80"/>
      <c r="BF352" s="79"/>
      <c r="BG352" s="76"/>
      <c r="BH352" s="76"/>
      <c r="BI352" s="76"/>
      <c r="BJ352" s="76"/>
      <c r="BK352" s="80"/>
      <c r="BM352" s="125">
        <f t="shared" si="972"/>
        <v>0</v>
      </c>
      <c r="BN352" s="126">
        <f t="shared" si="973"/>
        <v>100</v>
      </c>
      <c r="BO352" s="126">
        <f t="shared" si="974"/>
        <v>9</v>
      </c>
      <c r="BP352" s="126">
        <f t="shared" si="975"/>
        <v>62</v>
      </c>
      <c r="BQ352" s="126">
        <f>SUM(AT352:AY352)</f>
        <v>0</v>
      </c>
      <c r="BR352" s="126">
        <f t="shared" si="976"/>
        <v>0</v>
      </c>
      <c r="BS352" s="127">
        <f t="shared" si="977"/>
        <v>0</v>
      </c>
      <c r="BT352" s="74"/>
      <c r="BU352" s="125">
        <f t="shared" si="978"/>
        <v>0</v>
      </c>
      <c r="BV352" s="126">
        <f t="shared" si="979"/>
        <v>10</v>
      </c>
      <c r="BW352" s="126">
        <f t="shared" si="980"/>
        <v>0.9</v>
      </c>
      <c r="BX352" s="126">
        <f t="shared" si="981"/>
        <v>6.2</v>
      </c>
      <c r="BY352" s="126">
        <f t="shared" si="982"/>
        <v>0</v>
      </c>
      <c r="BZ352" s="126">
        <f t="shared" si="982"/>
        <v>0</v>
      </c>
      <c r="CA352" s="126">
        <f t="shared" si="982"/>
        <v>0</v>
      </c>
    </row>
    <row r="353" spans="1:79" ht="15.75">
      <c r="A353" s="152" t="str">
        <f t="shared" si="933"/>
        <v>P</v>
      </c>
      <c r="B353" s="153">
        <f t="shared" si="934"/>
        <v>70000</v>
      </c>
      <c r="C353" s="154" t="s">
        <v>268</v>
      </c>
      <c r="D353" s="155" t="s">
        <v>0</v>
      </c>
      <c r="E353" s="155" t="s">
        <v>0</v>
      </c>
      <c r="F353" s="156" t="s">
        <v>269</v>
      </c>
      <c r="G353" s="155" t="s">
        <v>0</v>
      </c>
      <c r="H353" s="155" t="s">
        <v>0</v>
      </c>
      <c r="I353" s="155" t="s">
        <v>0</v>
      </c>
      <c r="J353" s="157" t="s">
        <v>0</v>
      </c>
      <c r="K353" s="11" t="s">
        <v>0</v>
      </c>
      <c r="L353" s="8" t="s">
        <v>0</v>
      </c>
      <c r="M353" s="9">
        <v>0</v>
      </c>
      <c r="N353" s="9">
        <v>200</v>
      </c>
      <c r="O353" s="10">
        <v>200</v>
      </c>
      <c r="P353" s="111"/>
      <c r="Q353" s="112"/>
      <c r="R353" s="112">
        <f>SUMIFS(R354:R$415,$C354:$C$415,$C353)</f>
        <v>30</v>
      </c>
      <c r="S353" s="112">
        <f>SUMIFS(S354:S$415,$C354:$C$415,$C353)</f>
        <v>170</v>
      </c>
      <c r="T353" s="92">
        <f>R353/O353</f>
        <v>0.15</v>
      </c>
      <c r="V353" s="77"/>
      <c r="W353" s="75"/>
      <c r="X353" s="75"/>
      <c r="Y353" s="75"/>
      <c r="Z353" s="75"/>
      <c r="AA353" s="78"/>
      <c r="AB353" s="77"/>
      <c r="AC353" s="75"/>
      <c r="AD353" s="75"/>
      <c r="AE353" s="75"/>
      <c r="AF353" s="75"/>
      <c r="AG353" s="78"/>
      <c r="AH353" s="77"/>
      <c r="AI353" s="75"/>
      <c r="AJ353" s="75"/>
      <c r="AK353" s="75"/>
      <c r="AL353" s="75"/>
      <c r="AM353" s="78"/>
      <c r="AN353" s="77"/>
      <c r="AO353" s="75"/>
      <c r="AP353" s="75"/>
      <c r="AQ353" s="75"/>
      <c r="AR353" s="75"/>
      <c r="AS353" s="78"/>
      <c r="AT353" s="77"/>
      <c r="AU353" s="75"/>
      <c r="AV353" s="75"/>
      <c r="AW353" s="75"/>
      <c r="AX353" s="75"/>
      <c r="AY353" s="78"/>
      <c r="AZ353" s="77"/>
      <c r="BA353" s="75"/>
      <c r="BB353" s="75"/>
      <c r="BC353" s="75"/>
      <c r="BD353" s="75"/>
      <c r="BE353" s="78"/>
      <c r="BF353" s="77"/>
      <c r="BG353" s="75"/>
      <c r="BH353" s="75"/>
      <c r="BI353" s="75"/>
      <c r="BJ353" s="75"/>
      <c r="BK353" s="78"/>
      <c r="BM353" s="122"/>
      <c r="BN353" s="123"/>
      <c r="BO353" s="123"/>
      <c r="BP353" s="123"/>
      <c r="BQ353" s="123"/>
      <c r="BR353" s="123"/>
      <c r="BS353" s="124"/>
      <c r="BT353" s="74"/>
      <c r="BU353" s="122"/>
      <c r="BV353" s="123"/>
      <c r="BW353" s="123"/>
      <c r="BX353" s="123"/>
      <c r="BY353" s="123"/>
      <c r="BZ353" s="123"/>
      <c r="CA353" s="123"/>
    </row>
    <row r="354" spans="1:79">
      <c r="A354" s="147" t="str">
        <f t="shared" si="933"/>
        <v>D</v>
      </c>
      <c r="B354" s="148">
        <f t="shared" si="934"/>
        <v>70000</v>
      </c>
      <c r="C354" s="149" t="s">
        <v>268</v>
      </c>
      <c r="D354" s="150" t="s">
        <v>0</v>
      </c>
      <c r="E354" s="150" t="s">
        <v>0</v>
      </c>
      <c r="F354" s="145" t="s">
        <v>270</v>
      </c>
      <c r="G354" s="150" t="s">
        <v>0</v>
      </c>
      <c r="H354" s="150" t="s">
        <v>0</v>
      </c>
      <c r="I354" s="150" t="s">
        <v>0</v>
      </c>
      <c r="J354" s="151" t="s">
        <v>0</v>
      </c>
      <c r="K354" s="13">
        <v>1</v>
      </c>
      <c r="L354" s="12" t="s">
        <v>0</v>
      </c>
      <c r="M354" s="13">
        <v>0</v>
      </c>
      <c r="N354" s="13">
        <v>200</v>
      </c>
      <c r="O354" s="14">
        <v>200</v>
      </c>
      <c r="P354" s="113">
        <f>SUM(BM354:BS354)</f>
        <v>0.15000000000000002</v>
      </c>
      <c r="Q354" s="114">
        <f>K354-P354</f>
        <v>0.85</v>
      </c>
      <c r="R354" s="114">
        <f>SUM(BU354:CA354)</f>
        <v>30</v>
      </c>
      <c r="S354" s="114">
        <f>O354-R354</f>
        <v>170</v>
      </c>
      <c r="T354" s="93">
        <f>R354/O354</f>
        <v>0.15</v>
      </c>
      <c r="U354" t="s">
        <v>0</v>
      </c>
      <c r="V354" s="79"/>
      <c r="W354" s="76"/>
      <c r="X354" s="76"/>
      <c r="Y354" s="76"/>
      <c r="Z354" s="76"/>
      <c r="AA354" s="80"/>
      <c r="AB354" s="79"/>
      <c r="AC354" s="76"/>
      <c r="AD354" s="76"/>
      <c r="AE354" s="76"/>
      <c r="AF354" s="76"/>
      <c r="AG354" s="80"/>
      <c r="AH354" s="79"/>
      <c r="AI354" s="76">
        <v>0.05</v>
      </c>
      <c r="AJ354" s="76">
        <v>0.05</v>
      </c>
      <c r="AK354" s="76"/>
      <c r="AL354" s="76"/>
      <c r="AM354" s="80"/>
      <c r="AN354" s="79"/>
      <c r="AO354" s="76"/>
      <c r="AP354" s="76"/>
      <c r="AQ354" s="76"/>
      <c r="AR354" s="76"/>
      <c r="AS354" s="80"/>
      <c r="AT354" s="79"/>
      <c r="AU354" s="76">
        <v>0.05</v>
      </c>
      <c r="AV354" s="76"/>
      <c r="AW354" s="76"/>
      <c r="AX354" s="76"/>
      <c r="AY354" s="80"/>
      <c r="AZ354" s="79"/>
      <c r="BA354" s="76"/>
      <c r="BB354" s="76"/>
      <c r="BC354" s="76"/>
      <c r="BD354" s="76"/>
      <c r="BE354" s="80"/>
      <c r="BF354" s="79"/>
      <c r="BG354" s="76"/>
      <c r="BH354" s="76"/>
      <c r="BI354" s="76"/>
      <c r="BJ354" s="76"/>
      <c r="BK354" s="80"/>
      <c r="BM354" s="125">
        <f>SUM(V354:AA354)</f>
        <v>0</v>
      </c>
      <c r="BN354" s="126">
        <f>SUM(AB354:AG354)</f>
        <v>0</v>
      </c>
      <c r="BO354" s="126">
        <f>SUM(AH354:AM354)</f>
        <v>0.1</v>
      </c>
      <c r="BP354" s="126">
        <f>SUM(AN354:AS354)</f>
        <v>0</v>
      </c>
      <c r="BQ354" s="126">
        <f>SUM(AT354:AY354)</f>
        <v>0.05</v>
      </c>
      <c r="BR354" s="126">
        <f>SUM(AZ354:BE354)</f>
        <v>0</v>
      </c>
      <c r="BS354" s="127">
        <f>SUM(BF354:BK354)</f>
        <v>0</v>
      </c>
      <c r="BT354" s="74"/>
      <c r="BU354" s="125">
        <f>(BM354/$K354)*$O354</f>
        <v>0</v>
      </c>
      <c r="BV354" s="126">
        <f t="shared" ref="BV354" si="983">(BN354/$K354)*$O354</f>
        <v>0</v>
      </c>
      <c r="BW354" s="126">
        <f t="shared" ref="BW354" si="984">(BO354/$K354)*$O354</f>
        <v>20</v>
      </c>
      <c r="BX354" s="126">
        <f t="shared" ref="BX354" si="985">(BP354/$K354)*$O354</f>
        <v>0</v>
      </c>
      <c r="BY354" s="126">
        <f t="shared" ref="BY354:CA354" si="986">(BQ354/$K354)*$O354</f>
        <v>10</v>
      </c>
      <c r="BZ354" s="126">
        <f t="shared" si="986"/>
        <v>0</v>
      </c>
      <c r="CA354" s="126">
        <f t="shared" si="986"/>
        <v>0</v>
      </c>
    </row>
    <row r="355" spans="1:79" ht="15.75">
      <c r="A355" s="152" t="str">
        <f t="shared" si="933"/>
        <v>P</v>
      </c>
      <c r="B355" s="153">
        <f t="shared" si="934"/>
        <v>70000</v>
      </c>
      <c r="C355" s="154" t="s">
        <v>271</v>
      </c>
      <c r="D355" s="155" t="s">
        <v>0</v>
      </c>
      <c r="E355" s="155" t="s">
        <v>0</v>
      </c>
      <c r="F355" s="156" t="s">
        <v>272</v>
      </c>
      <c r="G355" s="155" t="s">
        <v>0</v>
      </c>
      <c r="H355" s="155" t="s">
        <v>0</v>
      </c>
      <c r="I355" s="155" t="s">
        <v>0</v>
      </c>
      <c r="J355" s="157" t="s">
        <v>54</v>
      </c>
      <c r="K355" s="11" t="s">
        <v>0</v>
      </c>
      <c r="L355" s="8" t="s">
        <v>0</v>
      </c>
      <c r="M355" s="9">
        <v>67</v>
      </c>
      <c r="N355" s="9">
        <v>0</v>
      </c>
      <c r="O355" s="10">
        <v>67</v>
      </c>
      <c r="P355" s="111"/>
      <c r="Q355" s="112"/>
      <c r="R355" s="112">
        <f>SUMIFS(R356:R$415,$C356:$C$415,$C355)</f>
        <v>47</v>
      </c>
      <c r="S355" s="112">
        <f>SUMIFS(S356:S$415,$C356:$C$415,$C355)</f>
        <v>20</v>
      </c>
      <c r="T355" s="92">
        <f>R355/O355</f>
        <v>0.70149253731343286</v>
      </c>
      <c r="V355" s="77"/>
      <c r="W355" s="75"/>
      <c r="X355" s="75"/>
      <c r="Y355" s="75"/>
      <c r="Z355" s="75"/>
      <c r="AA355" s="78"/>
      <c r="AB355" s="77"/>
      <c r="AC355" s="75"/>
      <c r="AD355" s="75"/>
      <c r="AE355" s="75"/>
      <c r="AF355" s="75"/>
      <c r="AG355" s="78"/>
      <c r="AH355" s="77"/>
      <c r="AI355" s="75"/>
      <c r="AJ355" s="75"/>
      <c r="AK355" s="75"/>
      <c r="AL355" s="75"/>
      <c r="AM355" s="78"/>
      <c r="AN355" s="77"/>
      <c r="AO355" s="75"/>
      <c r="AP355" s="75"/>
      <c r="AQ355" s="75"/>
      <c r="AR355" s="75"/>
      <c r="AS355" s="78"/>
      <c r="AT355" s="77"/>
      <c r="AU355" s="75"/>
      <c r="AV355" s="75"/>
      <c r="AW355" s="75"/>
      <c r="AX355" s="75"/>
      <c r="AY355" s="78"/>
      <c r="AZ355" s="77"/>
      <c r="BA355" s="75"/>
      <c r="BB355" s="75"/>
      <c r="BC355" s="75"/>
      <c r="BD355" s="75"/>
      <c r="BE355" s="78"/>
      <c r="BF355" s="77"/>
      <c r="BG355" s="75"/>
      <c r="BH355" s="75"/>
      <c r="BI355" s="75"/>
      <c r="BJ355" s="75"/>
      <c r="BK355" s="78"/>
      <c r="BM355" s="122"/>
      <c r="BN355" s="123"/>
      <c r="BO355" s="123"/>
      <c r="BP355" s="123"/>
      <c r="BQ355" s="123"/>
      <c r="BR355" s="123"/>
      <c r="BS355" s="124"/>
      <c r="BT355" s="74"/>
      <c r="BU355" s="122"/>
      <c r="BV355" s="123"/>
      <c r="BW355" s="123"/>
      <c r="BX355" s="123"/>
      <c r="BY355" s="123"/>
      <c r="BZ355" s="123"/>
      <c r="CA355" s="123"/>
    </row>
    <row r="356" spans="1:79">
      <c r="A356" s="147" t="str">
        <f t="shared" si="933"/>
        <v>D</v>
      </c>
      <c r="B356" s="148">
        <f t="shared" si="934"/>
        <v>70000</v>
      </c>
      <c r="C356" s="149" t="s">
        <v>271</v>
      </c>
      <c r="D356" s="150" t="s">
        <v>0</v>
      </c>
      <c r="E356" s="150" t="s">
        <v>0</v>
      </c>
      <c r="F356" s="145" t="s">
        <v>273</v>
      </c>
      <c r="G356" s="150" t="s">
        <v>0</v>
      </c>
      <c r="H356" s="150" t="s">
        <v>0</v>
      </c>
      <c r="I356" s="150" t="s">
        <v>0</v>
      </c>
      <c r="J356" s="151" t="s">
        <v>54</v>
      </c>
      <c r="K356" s="13">
        <v>67</v>
      </c>
      <c r="L356" s="12" t="s">
        <v>32</v>
      </c>
      <c r="M356" s="13">
        <v>67</v>
      </c>
      <c r="N356" s="13">
        <v>0</v>
      </c>
      <c r="O356" s="14">
        <v>67</v>
      </c>
      <c r="P356" s="113">
        <f>SUM(BM356:BS356)</f>
        <v>47</v>
      </c>
      <c r="Q356" s="114">
        <f>K356-P356</f>
        <v>20</v>
      </c>
      <c r="R356" s="114">
        <f>SUM(BU356:CA356)</f>
        <v>47</v>
      </c>
      <c r="S356" s="114">
        <f>O356-R356</f>
        <v>20</v>
      </c>
      <c r="T356" s="93">
        <f>R356/O356</f>
        <v>0.70149253731343286</v>
      </c>
      <c r="U356" t="s">
        <v>0</v>
      </c>
      <c r="V356" s="79"/>
      <c r="W356" s="76"/>
      <c r="X356" s="76"/>
      <c r="Y356" s="76"/>
      <c r="Z356" s="76"/>
      <c r="AA356" s="80"/>
      <c r="AB356" s="79"/>
      <c r="AC356" s="76"/>
      <c r="AD356" s="76"/>
      <c r="AE356" s="76"/>
      <c r="AF356" s="76"/>
      <c r="AG356" s="80"/>
      <c r="AH356" s="79"/>
      <c r="AI356" s="76"/>
      <c r="AJ356" s="76"/>
      <c r="AK356" s="76"/>
      <c r="AL356" s="76">
        <v>1</v>
      </c>
      <c r="AM356" s="80"/>
      <c r="AN356" s="79"/>
      <c r="AO356" s="76"/>
      <c r="AP356" s="76"/>
      <c r="AQ356" s="76"/>
      <c r="AR356" s="76"/>
      <c r="AS356" s="80">
        <v>10</v>
      </c>
      <c r="AT356" s="79"/>
      <c r="AU356" s="76"/>
      <c r="AV356" s="76"/>
      <c r="AW356" s="76"/>
      <c r="AX356" s="76"/>
      <c r="AY356" s="80">
        <v>36</v>
      </c>
      <c r="AZ356" s="79"/>
      <c r="BA356" s="76"/>
      <c r="BB356" s="76"/>
      <c r="BC356" s="76"/>
      <c r="BD356" s="76"/>
      <c r="BE356" s="80"/>
      <c r="BF356" s="79"/>
      <c r="BG356" s="76"/>
      <c r="BH356" s="76"/>
      <c r="BI356" s="76"/>
      <c r="BJ356" s="76"/>
      <c r="BK356" s="80"/>
      <c r="BM356" s="125">
        <f>SUM(V356:AA356)</f>
        <v>0</v>
      </c>
      <c r="BN356" s="126">
        <f>SUM(AB356:AG356)</f>
        <v>0</v>
      </c>
      <c r="BO356" s="126">
        <f>SUM(AH356:AM356)</f>
        <v>1</v>
      </c>
      <c r="BP356" s="126">
        <f>SUM(AN356:AS356)</f>
        <v>10</v>
      </c>
      <c r="BQ356" s="126">
        <f>SUM(AT356:AY356)</f>
        <v>36</v>
      </c>
      <c r="BR356" s="126">
        <f>SUM(AZ356:BE356)</f>
        <v>0</v>
      </c>
      <c r="BS356" s="127">
        <f>SUM(BF356:BK356)</f>
        <v>0</v>
      </c>
      <c r="BT356" s="74"/>
      <c r="BU356" s="125">
        <f>(BM356/$K356)*$O356</f>
        <v>0</v>
      </c>
      <c r="BV356" s="126">
        <f t="shared" ref="BV356" si="987">(BN356/$K356)*$O356</f>
        <v>0</v>
      </c>
      <c r="BW356" s="126">
        <f t="shared" ref="BW356" si="988">(BO356/$K356)*$O356</f>
        <v>1</v>
      </c>
      <c r="BX356" s="126">
        <f t="shared" ref="BX356" si="989">(BP356/$K356)*$O356</f>
        <v>10</v>
      </c>
      <c r="BY356" s="126">
        <f t="shared" ref="BY356:CA356" si="990">(BQ356/$K356)*$O356</f>
        <v>36</v>
      </c>
      <c r="BZ356" s="126">
        <f t="shared" si="990"/>
        <v>0</v>
      </c>
      <c r="CA356" s="126">
        <f t="shared" si="990"/>
        <v>0</v>
      </c>
    </row>
    <row r="357" spans="1:79" ht="15.75">
      <c r="A357" s="152" t="str">
        <f t="shared" si="933"/>
        <v>P</v>
      </c>
      <c r="B357" s="153">
        <f t="shared" si="934"/>
        <v>70000</v>
      </c>
      <c r="C357" s="154" t="s">
        <v>274</v>
      </c>
      <c r="D357" s="155" t="s">
        <v>0</v>
      </c>
      <c r="E357" s="155" t="s">
        <v>0</v>
      </c>
      <c r="F357" s="156" t="s">
        <v>275</v>
      </c>
      <c r="G357" s="155" t="s">
        <v>0</v>
      </c>
      <c r="H357" s="155" t="s">
        <v>0</v>
      </c>
      <c r="I357" s="155" t="s">
        <v>0</v>
      </c>
      <c r="J357" s="157" t="s">
        <v>54</v>
      </c>
      <c r="K357" s="11" t="s">
        <v>0</v>
      </c>
      <c r="L357" s="8" t="s">
        <v>0</v>
      </c>
      <c r="M357" s="9">
        <v>97.14</v>
      </c>
      <c r="N357" s="9">
        <v>0</v>
      </c>
      <c r="O357" s="10">
        <v>97.14</v>
      </c>
      <c r="P357" s="111"/>
      <c r="Q357" s="112"/>
      <c r="R357" s="112">
        <f>SUMIFS(R358:R$415,$C358:$C$415,$C357)</f>
        <v>21</v>
      </c>
      <c r="S357" s="112">
        <f>SUMIFS(S358:S$415,$C358:$C$415,$C357)</f>
        <v>76.14</v>
      </c>
      <c r="T357" s="92">
        <f>R357/O357</f>
        <v>0.21618282890673254</v>
      </c>
      <c r="V357" s="77"/>
      <c r="W357" s="75"/>
      <c r="X357" s="75"/>
      <c r="Y357" s="75"/>
      <c r="Z357" s="75"/>
      <c r="AA357" s="78"/>
      <c r="AB357" s="77"/>
      <c r="AC357" s="75"/>
      <c r="AD357" s="75"/>
      <c r="AE357" s="75"/>
      <c r="AF357" s="75"/>
      <c r="AG357" s="78"/>
      <c r="AH357" s="77"/>
      <c r="AI357" s="75"/>
      <c r="AJ357" s="75"/>
      <c r="AK357" s="75"/>
      <c r="AL357" s="75"/>
      <c r="AM357" s="78"/>
      <c r="AN357" s="77"/>
      <c r="AO357" s="75"/>
      <c r="AP357" s="75"/>
      <c r="AQ357" s="75"/>
      <c r="AR357" s="75"/>
      <c r="AS357" s="78"/>
      <c r="AT357" s="77"/>
      <c r="AU357" s="75"/>
      <c r="AV357" s="75"/>
      <c r="AW357" s="75"/>
      <c r="AX357" s="75"/>
      <c r="AY357" s="78"/>
      <c r="AZ357" s="77"/>
      <c r="BA357" s="75"/>
      <c r="BB357" s="75"/>
      <c r="BC357" s="75"/>
      <c r="BD357" s="75"/>
      <c r="BE357" s="78"/>
      <c r="BF357" s="77"/>
      <c r="BG357" s="75"/>
      <c r="BH357" s="75"/>
      <c r="BI357" s="75"/>
      <c r="BJ357" s="75"/>
      <c r="BK357" s="78"/>
      <c r="BM357" s="122"/>
      <c r="BN357" s="123"/>
      <c r="BO357" s="123"/>
      <c r="BP357" s="123"/>
      <c r="BQ357" s="123"/>
      <c r="BR357" s="123"/>
      <c r="BS357" s="124"/>
      <c r="BT357" s="74"/>
      <c r="BU357" s="122"/>
      <c r="BV357" s="123"/>
      <c r="BW357" s="123"/>
      <c r="BX357" s="123"/>
      <c r="BY357" s="123"/>
      <c r="BZ357" s="123"/>
      <c r="CA357" s="123"/>
    </row>
    <row r="358" spans="1:79">
      <c r="A358" s="147" t="str">
        <f t="shared" si="933"/>
        <v>D</v>
      </c>
      <c r="B358" s="148">
        <f t="shared" si="934"/>
        <v>70000</v>
      </c>
      <c r="C358" s="149" t="s">
        <v>274</v>
      </c>
      <c r="D358" s="150" t="s">
        <v>0</v>
      </c>
      <c r="E358" s="150" t="s">
        <v>0</v>
      </c>
      <c r="F358" s="145" t="s">
        <v>276</v>
      </c>
      <c r="G358" s="150" t="s">
        <v>0</v>
      </c>
      <c r="H358" s="150" t="s">
        <v>0</v>
      </c>
      <c r="I358" s="150" t="s">
        <v>0</v>
      </c>
      <c r="J358" s="151" t="s">
        <v>54</v>
      </c>
      <c r="K358" s="13">
        <v>6</v>
      </c>
      <c r="L358" s="12" t="s">
        <v>56</v>
      </c>
      <c r="M358" s="13">
        <v>2.1</v>
      </c>
      <c r="N358" s="13">
        <v>0</v>
      </c>
      <c r="O358" s="14">
        <v>2.1</v>
      </c>
      <c r="P358" s="113">
        <f t="shared" ref="P358:P364" si="991">SUM(BM358:BS358)</f>
        <v>6</v>
      </c>
      <c r="Q358" s="114">
        <f t="shared" ref="Q358:Q364" si="992">K358-P358</f>
        <v>0</v>
      </c>
      <c r="R358" s="114">
        <f t="shared" ref="R358:R364" si="993">SUM(BU358:CA358)</f>
        <v>2.1</v>
      </c>
      <c r="S358" s="114">
        <f t="shared" ref="S358:S364" si="994">O358-R358</f>
        <v>0</v>
      </c>
      <c r="T358" s="93">
        <f t="shared" ref="T358:T364" si="995">R358/O358</f>
        <v>1</v>
      </c>
      <c r="U358" t="s">
        <v>0</v>
      </c>
      <c r="V358" s="79"/>
      <c r="W358" s="76"/>
      <c r="X358" s="76"/>
      <c r="Y358" s="76"/>
      <c r="Z358" s="76"/>
      <c r="AA358" s="80"/>
      <c r="AB358" s="79"/>
      <c r="AC358" s="76"/>
      <c r="AD358" s="76"/>
      <c r="AE358" s="76"/>
      <c r="AF358" s="76"/>
      <c r="AG358" s="80"/>
      <c r="AH358" s="79"/>
      <c r="AI358" s="76"/>
      <c r="AJ358" s="76"/>
      <c r="AK358" s="76"/>
      <c r="AL358" s="76"/>
      <c r="AM358" s="80"/>
      <c r="AN358" s="79"/>
      <c r="AO358" s="76"/>
      <c r="AP358" s="76"/>
      <c r="AQ358" s="76"/>
      <c r="AR358" s="76"/>
      <c r="AS358" s="80"/>
      <c r="AT358" s="79"/>
      <c r="AU358" s="76"/>
      <c r="AV358" s="76"/>
      <c r="AW358" s="76"/>
      <c r="AX358" s="76"/>
      <c r="AY358" s="80">
        <v>6</v>
      </c>
      <c r="AZ358" s="79"/>
      <c r="BA358" s="76"/>
      <c r="BB358" s="76"/>
      <c r="BC358" s="76"/>
      <c r="BD358" s="76"/>
      <c r="BE358" s="80"/>
      <c r="BF358" s="79"/>
      <c r="BG358" s="76"/>
      <c r="BH358" s="76"/>
      <c r="BI358" s="76"/>
      <c r="BJ358" s="76"/>
      <c r="BK358" s="80"/>
      <c r="BM358" s="125">
        <f t="shared" ref="BM358:BM364" si="996">SUM(V358:AA358)</f>
        <v>0</v>
      </c>
      <c r="BN358" s="126">
        <f t="shared" ref="BN358:BN364" si="997">SUM(AB358:AG358)</f>
        <v>0</v>
      </c>
      <c r="BO358" s="126">
        <f t="shared" ref="BO358:BO364" si="998">SUM(AH358:AM358)</f>
        <v>0</v>
      </c>
      <c r="BP358" s="126">
        <f t="shared" ref="BP358:BP364" si="999">SUM(AN358:AS358)</f>
        <v>0</v>
      </c>
      <c r="BQ358" s="126">
        <f>SUM(AT358:AY358)</f>
        <v>6</v>
      </c>
      <c r="BR358" s="126">
        <f t="shared" ref="BR358:BS364" si="1000">SUM(AZ358:BE358)</f>
        <v>0</v>
      </c>
      <c r="BS358" s="127">
        <f t="shared" ref="BS358:BS364" si="1001">SUM(BF358:BK358)</f>
        <v>0</v>
      </c>
      <c r="BT358" s="74"/>
      <c r="BU358" s="125">
        <f t="shared" ref="BU358:BU364" si="1002">(BM358/$K358)*$O358</f>
        <v>0</v>
      </c>
      <c r="BV358" s="126">
        <f t="shared" ref="BV358:BV364" si="1003">(BN358/$K358)*$O358</f>
        <v>0</v>
      </c>
      <c r="BW358" s="126">
        <f t="shared" ref="BW358:BW364" si="1004">(BO358/$K358)*$O358</f>
        <v>0</v>
      </c>
      <c r="BX358" s="126">
        <f t="shared" ref="BX358:BX364" si="1005">(BP358/$K358)*$O358</f>
        <v>0</v>
      </c>
      <c r="BY358" s="126">
        <f t="shared" ref="BY358:CA364" si="1006">(BQ358/$K358)*$O358</f>
        <v>2.1</v>
      </c>
      <c r="BZ358" s="126">
        <f t="shared" si="1006"/>
        <v>0</v>
      </c>
      <c r="CA358" s="126">
        <f t="shared" si="1006"/>
        <v>0</v>
      </c>
    </row>
    <row r="359" spans="1:79">
      <c r="A359" s="147" t="str">
        <f t="shared" si="933"/>
        <v>D</v>
      </c>
      <c r="B359" s="148">
        <f t="shared" si="934"/>
        <v>70000</v>
      </c>
      <c r="C359" s="149" t="s">
        <v>274</v>
      </c>
      <c r="D359" s="150" t="s">
        <v>0</v>
      </c>
      <c r="E359" s="150" t="s">
        <v>0</v>
      </c>
      <c r="F359" s="145" t="s">
        <v>277</v>
      </c>
      <c r="G359" s="150" t="s">
        <v>0</v>
      </c>
      <c r="H359" s="150" t="s">
        <v>0</v>
      </c>
      <c r="I359" s="150" t="s">
        <v>0</v>
      </c>
      <c r="J359" s="151" t="s">
        <v>54</v>
      </c>
      <c r="K359" s="13">
        <v>13</v>
      </c>
      <c r="L359" s="12" t="s">
        <v>56</v>
      </c>
      <c r="M359" s="13">
        <v>3.9</v>
      </c>
      <c r="N359" s="13">
        <v>0</v>
      </c>
      <c r="O359" s="14">
        <v>3.9</v>
      </c>
      <c r="P359" s="113">
        <f t="shared" si="991"/>
        <v>13</v>
      </c>
      <c r="Q359" s="114">
        <f t="shared" si="992"/>
        <v>0</v>
      </c>
      <c r="R359" s="114">
        <f t="shared" si="993"/>
        <v>3.9</v>
      </c>
      <c r="S359" s="114">
        <f t="shared" si="994"/>
        <v>0</v>
      </c>
      <c r="T359" s="93">
        <f t="shared" si="995"/>
        <v>1</v>
      </c>
      <c r="U359" t="s">
        <v>0</v>
      </c>
      <c r="V359" s="79"/>
      <c r="W359" s="76"/>
      <c r="X359" s="76"/>
      <c r="Y359" s="76"/>
      <c r="Z359" s="76"/>
      <c r="AA359" s="80"/>
      <c r="AB359" s="79"/>
      <c r="AC359" s="76"/>
      <c r="AD359" s="76"/>
      <c r="AE359" s="76"/>
      <c r="AF359" s="76"/>
      <c r="AG359" s="80"/>
      <c r="AH359" s="79"/>
      <c r="AI359" s="76"/>
      <c r="AJ359" s="76"/>
      <c r="AK359" s="76"/>
      <c r="AL359" s="76"/>
      <c r="AM359" s="80"/>
      <c r="AN359" s="79"/>
      <c r="AO359" s="76"/>
      <c r="AP359" s="76"/>
      <c r="AQ359" s="76"/>
      <c r="AR359" s="76"/>
      <c r="AS359" s="80"/>
      <c r="AT359" s="79"/>
      <c r="AU359" s="76"/>
      <c r="AV359" s="76"/>
      <c r="AW359" s="76"/>
      <c r="AX359" s="76"/>
      <c r="AY359" s="80">
        <v>13</v>
      </c>
      <c r="AZ359" s="79"/>
      <c r="BA359" s="76"/>
      <c r="BB359" s="76"/>
      <c r="BC359" s="76"/>
      <c r="BD359" s="76"/>
      <c r="BE359" s="80"/>
      <c r="BF359" s="79"/>
      <c r="BG359" s="76"/>
      <c r="BH359" s="76"/>
      <c r="BI359" s="76"/>
      <c r="BJ359" s="76"/>
      <c r="BK359" s="80"/>
      <c r="BM359" s="125">
        <f t="shared" si="996"/>
        <v>0</v>
      </c>
      <c r="BN359" s="126">
        <f t="shared" si="997"/>
        <v>0</v>
      </c>
      <c r="BO359" s="126">
        <f t="shared" si="998"/>
        <v>0</v>
      </c>
      <c r="BP359" s="126">
        <f t="shared" si="999"/>
        <v>0</v>
      </c>
      <c r="BQ359" s="126">
        <f>SUM(AT359:AY359)</f>
        <v>13</v>
      </c>
      <c r="BR359" s="126">
        <f t="shared" si="1000"/>
        <v>0</v>
      </c>
      <c r="BS359" s="127">
        <f t="shared" si="1001"/>
        <v>0</v>
      </c>
      <c r="BT359" s="74"/>
      <c r="BU359" s="125">
        <f t="shared" si="1002"/>
        <v>0</v>
      </c>
      <c r="BV359" s="126">
        <f t="shared" si="1003"/>
        <v>0</v>
      </c>
      <c r="BW359" s="126">
        <f t="shared" si="1004"/>
        <v>0</v>
      </c>
      <c r="BX359" s="126">
        <f t="shared" si="1005"/>
        <v>0</v>
      </c>
      <c r="BY359" s="126">
        <f t="shared" si="1006"/>
        <v>3.9</v>
      </c>
      <c r="BZ359" s="126">
        <f t="shared" si="1006"/>
        <v>0</v>
      </c>
      <c r="CA359" s="126">
        <f t="shared" si="1006"/>
        <v>0</v>
      </c>
    </row>
    <row r="360" spans="1:79">
      <c r="A360" s="147" t="str">
        <f t="shared" si="933"/>
        <v>D</v>
      </c>
      <c r="B360" s="148">
        <f t="shared" si="934"/>
        <v>70000</v>
      </c>
      <c r="C360" s="149" t="s">
        <v>274</v>
      </c>
      <c r="D360" s="150" t="s">
        <v>0</v>
      </c>
      <c r="E360" s="150" t="s">
        <v>0</v>
      </c>
      <c r="F360" s="145" t="s">
        <v>278</v>
      </c>
      <c r="G360" s="150" t="s">
        <v>0</v>
      </c>
      <c r="H360" s="150" t="s">
        <v>0</v>
      </c>
      <c r="I360" s="150" t="s">
        <v>0</v>
      </c>
      <c r="J360" s="151" t="s">
        <v>54</v>
      </c>
      <c r="K360" s="13">
        <v>60</v>
      </c>
      <c r="L360" s="12" t="s">
        <v>56</v>
      </c>
      <c r="M360" s="13">
        <v>15</v>
      </c>
      <c r="N360" s="13">
        <v>0</v>
      </c>
      <c r="O360" s="14">
        <v>15</v>
      </c>
      <c r="P360" s="113">
        <f t="shared" si="991"/>
        <v>60</v>
      </c>
      <c r="Q360" s="114">
        <f t="shared" si="992"/>
        <v>0</v>
      </c>
      <c r="R360" s="114">
        <f t="shared" si="993"/>
        <v>15</v>
      </c>
      <c r="S360" s="114">
        <f t="shared" si="994"/>
        <v>0</v>
      </c>
      <c r="T360" s="93">
        <f t="shared" si="995"/>
        <v>1</v>
      </c>
      <c r="U360" t="s">
        <v>0</v>
      </c>
      <c r="V360" s="79"/>
      <c r="W360" s="76"/>
      <c r="X360" s="76"/>
      <c r="Y360" s="76"/>
      <c r="Z360" s="76"/>
      <c r="AA360" s="80"/>
      <c r="AB360" s="79"/>
      <c r="AC360" s="76"/>
      <c r="AD360" s="76"/>
      <c r="AE360" s="76"/>
      <c r="AF360" s="76"/>
      <c r="AG360" s="80"/>
      <c r="AH360" s="79"/>
      <c r="AI360" s="76"/>
      <c r="AJ360" s="76"/>
      <c r="AK360" s="76"/>
      <c r="AL360" s="76"/>
      <c r="AM360" s="80"/>
      <c r="AN360" s="79"/>
      <c r="AO360" s="76"/>
      <c r="AP360" s="76"/>
      <c r="AQ360" s="76"/>
      <c r="AR360" s="76"/>
      <c r="AS360" s="80"/>
      <c r="AT360" s="79"/>
      <c r="AU360" s="76"/>
      <c r="AV360" s="76"/>
      <c r="AX360" s="76"/>
      <c r="AY360" s="80">
        <v>60</v>
      </c>
      <c r="AZ360" s="79"/>
      <c r="BA360" s="76"/>
      <c r="BB360" s="76"/>
      <c r="BC360" s="76"/>
      <c r="BD360" s="76"/>
      <c r="BE360" s="80"/>
      <c r="BF360" s="79"/>
      <c r="BG360" s="76"/>
      <c r="BH360" s="76"/>
      <c r="BI360" s="76"/>
      <c r="BJ360" s="76"/>
      <c r="BK360" s="80"/>
      <c r="BM360" s="125">
        <f t="shared" si="996"/>
        <v>0</v>
      </c>
      <c r="BN360" s="126">
        <f t="shared" si="997"/>
        <v>0</v>
      </c>
      <c r="BO360" s="126">
        <f t="shared" si="998"/>
        <v>0</v>
      </c>
      <c r="BP360" s="126">
        <f t="shared" si="999"/>
        <v>0</v>
      </c>
      <c r="BQ360" s="126">
        <f>SUM(AT360:AY360)</f>
        <v>60</v>
      </c>
      <c r="BR360" s="126">
        <f t="shared" si="1000"/>
        <v>0</v>
      </c>
      <c r="BS360" s="127">
        <f t="shared" si="1001"/>
        <v>0</v>
      </c>
      <c r="BT360" s="74"/>
      <c r="BU360" s="125">
        <f t="shared" si="1002"/>
        <v>0</v>
      </c>
      <c r="BV360" s="126">
        <f t="shared" si="1003"/>
        <v>0</v>
      </c>
      <c r="BW360" s="126">
        <f t="shared" si="1004"/>
        <v>0</v>
      </c>
      <c r="BX360" s="126">
        <f t="shared" si="1005"/>
        <v>0</v>
      </c>
      <c r="BY360" s="126">
        <f t="shared" si="1006"/>
        <v>15</v>
      </c>
      <c r="BZ360" s="126">
        <f t="shared" si="1006"/>
        <v>0</v>
      </c>
      <c r="CA360" s="126">
        <f t="shared" si="1006"/>
        <v>0</v>
      </c>
    </row>
    <row r="361" spans="1:79">
      <c r="A361" s="147" t="str">
        <f t="shared" si="933"/>
        <v>D</v>
      </c>
      <c r="B361" s="148">
        <f t="shared" si="934"/>
        <v>70000</v>
      </c>
      <c r="C361" s="149" t="s">
        <v>274</v>
      </c>
      <c r="D361" s="150" t="s">
        <v>0</v>
      </c>
      <c r="E361" s="150" t="s">
        <v>0</v>
      </c>
      <c r="F361" s="145" t="s">
        <v>279</v>
      </c>
      <c r="G361" s="150" t="s">
        <v>0</v>
      </c>
      <c r="H361" s="150" t="s">
        <v>0</v>
      </c>
      <c r="I361" s="150" t="s">
        <v>0</v>
      </c>
      <c r="J361" s="151" t="s">
        <v>54</v>
      </c>
      <c r="K361" s="13">
        <v>31</v>
      </c>
      <c r="L361" s="12" t="s">
        <v>56</v>
      </c>
      <c r="M361" s="13">
        <v>5.58</v>
      </c>
      <c r="N361" s="13">
        <v>0</v>
      </c>
      <c r="O361" s="14">
        <v>5.58</v>
      </c>
      <c r="P361" s="113">
        <f t="shared" si="991"/>
        <v>0</v>
      </c>
      <c r="Q361" s="114">
        <f t="shared" si="992"/>
        <v>31</v>
      </c>
      <c r="R361" s="114">
        <f t="shared" si="993"/>
        <v>0</v>
      </c>
      <c r="S361" s="114">
        <f t="shared" si="994"/>
        <v>5.58</v>
      </c>
      <c r="T361" s="93">
        <f t="shared" si="995"/>
        <v>0</v>
      </c>
      <c r="U361" t="s">
        <v>0</v>
      </c>
      <c r="V361" s="79"/>
      <c r="W361" s="76"/>
      <c r="X361" s="76"/>
      <c r="Y361" s="76"/>
      <c r="Z361" s="76"/>
      <c r="AA361" s="80"/>
      <c r="AB361" s="79"/>
      <c r="AC361" s="76"/>
      <c r="AD361" s="76"/>
      <c r="AE361" s="76"/>
      <c r="AF361" s="76"/>
      <c r="AG361" s="80"/>
      <c r="AH361" s="79"/>
      <c r="AI361" s="76"/>
      <c r="AJ361" s="76"/>
      <c r="AK361" s="76"/>
      <c r="AL361" s="76"/>
      <c r="AM361" s="80"/>
      <c r="AN361" s="79"/>
      <c r="AO361" s="76"/>
      <c r="AP361" s="76"/>
      <c r="AQ361" s="76"/>
      <c r="AR361" s="76"/>
      <c r="AS361" s="80"/>
      <c r="AT361" s="79"/>
      <c r="AU361" s="76"/>
      <c r="AV361" s="76"/>
      <c r="AW361" s="76"/>
      <c r="AX361" s="76"/>
      <c r="AY361" s="80"/>
      <c r="AZ361" s="79"/>
      <c r="BA361" s="76"/>
      <c r="BB361" s="76"/>
      <c r="BC361" s="76"/>
      <c r="BD361" s="76"/>
      <c r="BE361" s="80"/>
      <c r="BF361" s="79"/>
      <c r="BG361" s="76"/>
      <c r="BH361" s="76"/>
      <c r="BI361" s="76"/>
      <c r="BJ361" s="76"/>
      <c r="BK361" s="80"/>
      <c r="BM361" s="125">
        <f t="shared" si="996"/>
        <v>0</v>
      </c>
      <c r="BN361" s="126">
        <f t="shared" si="997"/>
        <v>0</v>
      </c>
      <c r="BO361" s="126">
        <f t="shared" si="998"/>
        <v>0</v>
      </c>
      <c r="BP361" s="126">
        <f t="shared" si="999"/>
        <v>0</v>
      </c>
      <c r="BQ361" s="126">
        <f>SUM(AT361:AY361)</f>
        <v>0</v>
      </c>
      <c r="BR361" s="126">
        <f t="shared" si="1000"/>
        <v>0</v>
      </c>
      <c r="BS361" s="127">
        <f t="shared" si="1001"/>
        <v>0</v>
      </c>
      <c r="BT361" s="74"/>
      <c r="BU361" s="125">
        <f t="shared" si="1002"/>
        <v>0</v>
      </c>
      <c r="BV361" s="126">
        <f t="shared" si="1003"/>
        <v>0</v>
      </c>
      <c r="BW361" s="126">
        <f t="shared" si="1004"/>
        <v>0</v>
      </c>
      <c r="BX361" s="126">
        <f t="shared" si="1005"/>
        <v>0</v>
      </c>
      <c r="BY361" s="126">
        <f t="shared" si="1006"/>
        <v>0</v>
      </c>
      <c r="BZ361" s="126">
        <f t="shared" si="1006"/>
        <v>0</v>
      </c>
      <c r="CA361" s="126">
        <f t="shared" si="1006"/>
        <v>0</v>
      </c>
    </row>
    <row r="362" spans="1:79">
      <c r="A362" s="147" t="str">
        <f t="shared" si="933"/>
        <v>D</v>
      </c>
      <c r="B362" s="148">
        <f t="shared" si="934"/>
        <v>70000</v>
      </c>
      <c r="C362" s="149" t="s">
        <v>274</v>
      </c>
      <c r="D362" s="150" t="s">
        <v>0</v>
      </c>
      <c r="E362" s="150" t="s">
        <v>0</v>
      </c>
      <c r="F362" s="145" t="s">
        <v>280</v>
      </c>
      <c r="G362" s="150" t="s">
        <v>0</v>
      </c>
      <c r="H362" s="150" t="s">
        <v>0</v>
      </c>
      <c r="I362" s="150" t="s">
        <v>0</v>
      </c>
      <c r="J362" s="151" t="s">
        <v>54</v>
      </c>
      <c r="K362" s="13">
        <v>261</v>
      </c>
      <c r="L362" s="12" t="s">
        <v>56</v>
      </c>
      <c r="M362" s="13">
        <v>41.76</v>
      </c>
      <c r="N362" s="13">
        <v>0</v>
      </c>
      <c r="O362" s="14">
        <v>41.76</v>
      </c>
      <c r="P362" s="113">
        <f t="shared" si="991"/>
        <v>0</v>
      </c>
      <c r="Q362" s="114">
        <f t="shared" si="992"/>
        <v>261</v>
      </c>
      <c r="R362" s="114">
        <f t="shared" si="993"/>
        <v>0</v>
      </c>
      <c r="S362" s="114">
        <f t="shared" si="994"/>
        <v>41.76</v>
      </c>
      <c r="T362" s="93">
        <f t="shared" si="995"/>
        <v>0</v>
      </c>
      <c r="U362" t="s">
        <v>0</v>
      </c>
      <c r="V362" s="79"/>
      <c r="W362" s="76"/>
      <c r="X362" s="76"/>
      <c r="Y362" s="76"/>
      <c r="Z362" s="76"/>
      <c r="AA362" s="80"/>
      <c r="AB362" s="79"/>
      <c r="AC362" s="76"/>
      <c r="AD362" s="76"/>
      <c r="AE362" s="76"/>
      <c r="AF362" s="76"/>
      <c r="AG362" s="80"/>
      <c r="AH362" s="79"/>
      <c r="AI362" s="76"/>
      <c r="AJ362" s="76"/>
      <c r="AK362" s="76"/>
      <c r="AL362" s="76"/>
      <c r="AM362" s="80"/>
      <c r="AN362" s="79"/>
      <c r="AO362" s="76"/>
      <c r="AP362" s="76"/>
      <c r="AQ362" s="76"/>
      <c r="AR362" s="76"/>
      <c r="AS362" s="80"/>
      <c r="AT362" s="79"/>
      <c r="AU362" s="76"/>
      <c r="AV362" s="76"/>
      <c r="AW362" s="76"/>
      <c r="AX362" s="76"/>
      <c r="AY362" s="80"/>
      <c r="AZ362" s="79"/>
      <c r="BA362" s="76"/>
      <c r="BB362" s="76"/>
      <c r="BC362" s="76"/>
      <c r="BD362" s="76"/>
      <c r="BE362" s="80"/>
      <c r="BF362" s="79"/>
      <c r="BG362" s="76"/>
      <c r="BH362" s="76"/>
      <c r="BI362" s="76"/>
      <c r="BJ362" s="76"/>
      <c r="BK362" s="80"/>
      <c r="BM362" s="125">
        <f t="shared" si="996"/>
        <v>0</v>
      </c>
      <c r="BN362" s="126">
        <f t="shared" si="997"/>
        <v>0</v>
      </c>
      <c r="BO362" s="126">
        <f t="shared" si="998"/>
        <v>0</v>
      </c>
      <c r="BP362" s="126">
        <f t="shared" si="999"/>
        <v>0</v>
      </c>
      <c r="BQ362" s="126">
        <f>SUM(AT362:AY362)</f>
        <v>0</v>
      </c>
      <c r="BR362" s="126">
        <f t="shared" si="1000"/>
        <v>0</v>
      </c>
      <c r="BS362" s="127">
        <f t="shared" si="1001"/>
        <v>0</v>
      </c>
      <c r="BT362" s="74"/>
      <c r="BU362" s="125">
        <f t="shared" si="1002"/>
        <v>0</v>
      </c>
      <c r="BV362" s="126">
        <f t="shared" si="1003"/>
        <v>0</v>
      </c>
      <c r="BW362" s="126">
        <f t="shared" si="1004"/>
        <v>0</v>
      </c>
      <c r="BX362" s="126">
        <f t="shared" si="1005"/>
        <v>0</v>
      </c>
      <c r="BY362" s="126">
        <f t="shared" si="1006"/>
        <v>0</v>
      </c>
      <c r="BZ362" s="126">
        <f t="shared" si="1006"/>
        <v>0</v>
      </c>
      <c r="CA362" s="126">
        <f t="shared" si="1006"/>
        <v>0</v>
      </c>
    </row>
    <row r="363" spans="1:79">
      <c r="A363" s="147" t="str">
        <f t="shared" si="933"/>
        <v>D</v>
      </c>
      <c r="B363" s="148">
        <f t="shared" si="934"/>
        <v>70000</v>
      </c>
      <c r="C363" s="149" t="s">
        <v>274</v>
      </c>
      <c r="D363" s="150" t="s">
        <v>0</v>
      </c>
      <c r="E363" s="150" t="s">
        <v>0</v>
      </c>
      <c r="F363" s="145" t="s">
        <v>281</v>
      </c>
      <c r="G363" s="150" t="s">
        <v>0</v>
      </c>
      <c r="H363" s="150" t="s">
        <v>0</v>
      </c>
      <c r="I363" s="150" t="s">
        <v>0</v>
      </c>
      <c r="J363" s="151" t="s">
        <v>54</v>
      </c>
      <c r="K363" s="13">
        <v>42</v>
      </c>
      <c r="L363" s="12" t="s">
        <v>56</v>
      </c>
      <c r="M363" s="13">
        <v>5.88</v>
      </c>
      <c r="N363" s="13">
        <v>0</v>
      </c>
      <c r="O363" s="14">
        <v>5.88</v>
      </c>
      <c r="P363" s="113">
        <f t="shared" si="991"/>
        <v>0</v>
      </c>
      <c r="Q363" s="114">
        <f t="shared" si="992"/>
        <v>42</v>
      </c>
      <c r="R363" s="114">
        <f t="shared" si="993"/>
        <v>0</v>
      </c>
      <c r="S363" s="114">
        <f t="shared" si="994"/>
        <v>5.88</v>
      </c>
      <c r="T363" s="93">
        <f t="shared" si="995"/>
        <v>0</v>
      </c>
      <c r="U363" t="s">
        <v>0</v>
      </c>
      <c r="V363" s="79"/>
      <c r="W363" s="76"/>
      <c r="X363" s="76"/>
      <c r="Y363" s="76"/>
      <c r="Z363" s="76"/>
      <c r="AA363" s="80"/>
      <c r="AB363" s="79"/>
      <c r="AC363" s="76"/>
      <c r="AD363" s="76"/>
      <c r="AE363" s="76"/>
      <c r="AF363" s="76"/>
      <c r="AG363" s="80"/>
      <c r="AH363" s="79"/>
      <c r="AI363" s="76"/>
      <c r="AJ363" s="76"/>
      <c r="AK363" s="76"/>
      <c r="AL363" s="76"/>
      <c r="AM363" s="80"/>
      <c r="AN363" s="79"/>
      <c r="AO363" s="76"/>
      <c r="AP363" s="76"/>
      <c r="AQ363" s="76"/>
      <c r="AR363" s="76"/>
      <c r="AS363" s="80"/>
      <c r="AT363" s="79"/>
      <c r="AU363" s="76"/>
      <c r="AV363" s="76"/>
      <c r="AW363" s="76"/>
      <c r="AX363" s="76"/>
      <c r="AY363" s="80"/>
      <c r="AZ363" s="79"/>
      <c r="BA363" s="76"/>
      <c r="BB363" s="76"/>
      <c r="BC363" s="76"/>
      <c r="BD363" s="76"/>
      <c r="BE363" s="80"/>
      <c r="BF363" s="79"/>
      <c r="BG363" s="76"/>
      <c r="BH363" s="76"/>
      <c r="BI363" s="76"/>
      <c r="BJ363" s="76"/>
      <c r="BK363" s="80"/>
      <c r="BM363" s="125">
        <f t="shared" si="996"/>
        <v>0</v>
      </c>
      <c r="BN363" s="126">
        <f t="shared" si="997"/>
        <v>0</v>
      </c>
      <c r="BO363" s="126">
        <f t="shared" si="998"/>
        <v>0</v>
      </c>
      <c r="BP363" s="126">
        <f t="shared" si="999"/>
        <v>0</v>
      </c>
      <c r="BQ363" s="126">
        <f>SUM(AT363:AY363)</f>
        <v>0</v>
      </c>
      <c r="BR363" s="126">
        <f t="shared" si="1000"/>
        <v>0</v>
      </c>
      <c r="BS363" s="127">
        <f t="shared" si="1001"/>
        <v>0</v>
      </c>
      <c r="BT363" s="74"/>
      <c r="BU363" s="125">
        <f t="shared" si="1002"/>
        <v>0</v>
      </c>
      <c r="BV363" s="126">
        <f t="shared" si="1003"/>
        <v>0</v>
      </c>
      <c r="BW363" s="126">
        <f t="shared" si="1004"/>
        <v>0</v>
      </c>
      <c r="BX363" s="126">
        <f t="shared" si="1005"/>
        <v>0</v>
      </c>
      <c r="BY363" s="126">
        <f t="shared" si="1006"/>
        <v>0</v>
      </c>
      <c r="BZ363" s="126">
        <f t="shared" si="1006"/>
        <v>0</v>
      </c>
      <c r="CA363" s="126">
        <f t="shared" si="1006"/>
        <v>0</v>
      </c>
    </row>
    <row r="364" spans="1:79">
      <c r="A364" s="147" t="str">
        <f t="shared" si="933"/>
        <v>D</v>
      </c>
      <c r="B364" s="148">
        <f t="shared" si="934"/>
        <v>70000</v>
      </c>
      <c r="C364" s="149" t="s">
        <v>274</v>
      </c>
      <c r="D364" s="150" t="s">
        <v>0</v>
      </c>
      <c r="E364" s="150" t="s">
        <v>0</v>
      </c>
      <c r="F364" s="145" t="s">
        <v>282</v>
      </c>
      <c r="G364" s="150" t="s">
        <v>0</v>
      </c>
      <c r="H364" s="150" t="s">
        <v>0</v>
      </c>
      <c r="I364" s="150" t="s">
        <v>0</v>
      </c>
      <c r="J364" s="151" t="s">
        <v>54</v>
      </c>
      <c r="K364" s="13">
        <v>191</v>
      </c>
      <c r="L364" s="12" t="s">
        <v>56</v>
      </c>
      <c r="M364" s="13">
        <v>22.92</v>
      </c>
      <c r="N364" s="13">
        <v>0</v>
      </c>
      <c r="O364" s="14">
        <v>22.92</v>
      </c>
      <c r="P364" s="113">
        <f t="shared" si="991"/>
        <v>0</v>
      </c>
      <c r="Q364" s="114">
        <f t="shared" si="992"/>
        <v>191</v>
      </c>
      <c r="R364" s="114">
        <f t="shared" si="993"/>
        <v>0</v>
      </c>
      <c r="S364" s="114">
        <f t="shared" si="994"/>
        <v>22.92</v>
      </c>
      <c r="T364" s="93">
        <f t="shared" si="995"/>
        <v>0</v>
      </c>
      <c r="U364" t="s">
        <v>0</v>
      </c>
      <c r="V364" s="79"/>
      <c r="W364" s="76"/>
      <c r="X364" s="76"/>
      <c r="Y364" s="76"/>
      <c r="Z364" s="76"/>
      <c r="AA364" s="80"/>
      <c r="AB364" s="79"/>
      <c r="AC364" s="76"/>
      <c r="AD364" s="76"/>
      <c r="AE364" s="76"/>
      <c r="AF364" s="76"/>
      <c r="AG364" s="80"/>
      <c r="AH364" s="79"/>
      <c r="AI364" s="76"/>
      <c r="AJ364" s="76"/>
      <c r="AK364" s="76"/>
      <c r="AL364" s="76"/>
      <c r="AM364" s="80"/>
      <c r="AN364" s="79"/>
      <c r="AO364" s="76"/>
      <c r="AP364" s="76"/>
      <c r="AQ364" s="76"/>
      <c r="AR364" s="76"/>
      <c r="AS364" s="80"/>
      <c r="AT364" s="79"/>
      <c r="AU364" s="76"/>
      <c r="AV364" s="76"/>
      <c r="AW364" s="76"/>
      <c r="AX364" s="76"/>
      <c r="AY364" s="80"/>
      <c r="AZ364" s="79"/>
      <c r="BA364" s="76"/>
      <c r="BB364" s="76"/>
      <c r="BC364" s="76"/>
      <c r="BD364" s="76"/>
      <c r="BE364" s="80"/>
      <c r="BF364" s="79"/>
      <c r="BG364" s="76"/>
      <c r="BH364" s="76"/>
      <c r="BI364" s="76"/>
      <c r="BJ364" s="76"/>
      <c r="BK364" s="80"/>
      <c r="BM364" s="125">
        <f t="shared" si="996"/>
        <v>0</v>
      </c>
      <c r="BN364" s="126">
        <f t="shared" si="997"/>
        <v>0</v>
      </c>
      <c r="BO364" s="126">
        <f t="shared" si="998"/>
        <v>0</v>
      </c>
      <c r="BP364" s="126">
        <f t="shared" si="999"/>
        <v>0</v>
      </c>
      <c r="BQ364" s="126">
        <f>SUM(AT364:AY364)</f>
        <v>0</v>
      </c>
      <c r="BR364" s="126">
        <f t="shared" si="1000"/>
        <v>0</v>
      </c>
      <c r="BS364" s="127">
        <f t="shared" si="1001"/>
        <v>0</v>
      </c>
      <c r="BT364" s="74"/>
      <c r="BU364" s="125">
        <f t="shared" si="1002"/>
        <v>0</v>
      </c>
      <c r="BV364" s="126">
        <f t="shared" si="1003"/>
        <v>0</v>
      </c>
      <c r="BW364" s="126">
        <f t="shared" si="1004"/>
        <v>0</v>
      </c>
      <c r="BX364" s="126">
        <f t="shared" si="1005"/>
        <v>0</v>
      </c>
      <c r="BY364" s="126">
        <f t="shared" si="1006"/>
        <v>0</v>
      </c>
      <c r="BZ364" s="126">
        <f t="shared" si="1006"/>
        <v>0</v>
      </c>
      <c r="CA364" s="126">
        <f t="shared" si="1006"/>
        <v>0</v>
      </c>
    </row>
    <row r="365" spans="1:79" ht="15.75">
      <c r="A365" s="152" t="str">
        <f t="shared" si="933"/>
        <v>P</v>
      </c>
      <c r="B365" s="153">
        <f t="shared" si="934"/>
        <v>70000</v>
      </c>
      <c r="C365" s="154" t="s">
        <v>283</v>
      </c>
      <c r="D365" s="155" t="s">
        <v>0</v>
      </c>
      <c r="E365" s="155" t="s">
        <v>0</v>
      </c>
      <c r="F365" s="156" t="s">
        <v>284</v>
      </c>
      <c r="G365" s="155" t="s">
        <v>0</v>
      </c>
      <c r="H365" s="155" t="s">
        <v>0</v>
      </c>
      <c r="I365" s="155" t="s">
        <v>0</v>
      </c>
      <c r="J365" s="157" t="s">
        <v>54</v>
      </c>
      <c r="K365" s="11" t="s">
        <v>0</v>
      </c>
      <c r="L365" s="8" t="s">
        <v>0</v>
      </c>
      <c r="M365" s="9">
        <v>89</v>
      </c>
      <c r="N365" s="9">
        <v>0</v>
      </c>
      <c r="O365" s="10">
        <v>89</v>
      </c>
      <c r="P365" s="111"/>
      <c r="Q365" s="112"/>
      <c r="R365" s="112">
        <f>SUMIFS(R366:R$415,$C366:$C$415,$C365)</f>
        <v>89</v>
      </c>
      <c r="S365" s="112">
        <f>SUMIFS(S366:S$415,$C366:$C$415,$C365)</f>
        <v>0</v>
      </c>
      <c r="T365" s="92">
        <f>R365/O365</f>
        <v>1</v>
      </c>
      <c r="V365" s="77"/>
      <c r="W365" s="75"/>
      <c r="X365" s="75"/>
      <c r="Y365" s="75"/>
      <c r="Z365" s="75"/>
      <c r="AA365" s="78"/>
      <c r="AB365" s="77"/>
      <c r="AC365" s="75"/>
      <c r="AD365" s="75"/>
      <c r="AE365" s="75"/>
      <c r="AF365" s="75"/>
      <c r="AG365" s="78"/>
      <c r="AH365" s="77"/>
      <c r="AI365" s="75"/>
      <c r="AJ365" s="75"/>
      <c r="AK365" s="75"/>
      <c r="AL365" s="75"/>
      <c r="AM365" s="78"/>
      <c r="AN365" s="77"/>
      <c r="AO365" s="75"/>
      <c r="AP365" s="75"/>
      <c r="AQ365" s="75"/>
      <c r="AR365" s="75"/>
      <c r="AS365" s="78"/>
      <c r="AT365" s="77"/>
      <c r="AU365" s="75"/>
      <c r="AV365" s="75"/>
      <c r="AW365" s="75"/>
      <c r="AX365" s="75"/>
      <c r="AY365" s="78"/>
      <c r="AZ365" s="77"/>
      <c r="BA365" s="75"/>
      <c r="BB365" s="75"/>
      <c r="BC365" s="75"/>
      <c r="BD365" s="75"/>
      <c r="BE365" s="78"/>
      <c r="BF365" s="77"/>
      <c r="BG365" s="75"/>
      <c r="BH365" s="75"/>
      <c r="BI365" s="75"/>
      <c r="BJ365" s="75"/>
      <c r="BK365" s="78"/>
      <c r="BM365" s="122"/>
      <c r="BN365" s="123"/>
      <c r="BO365" s="123"/>
      <c r="BP365" s="123"/>
      <c r="BQ365" s="123"/>
      <c r="BR365" s="123"/>
      <c r="BS365" s="124"/>
      <c r="BT365" s="74"/>
      <c r="BU365" s="122"/>
      <c r="BV365" s="123"/>
      <c r="BW365" s="123"/>
      <c r="BX365" s="123"/>
      <c r="BY365" s="123"/>
      <c r="BZ365" s="123"/>
      <c r="CA365" s="123"/>
    </row>
    <row r="366" spans="1:79">
      <c r="A366" s="147" t="str">
        <f t="shared" si="933"/>
        <v>D</v>
      </c>
      <c r="B366" s="148">
        <f t="shared" si="934"/>
        <v>70000</v>
      </c>
      <c r="C366" s="149" t="s">
        <v>283</v>
      </c>
      <c r="D366" s="150" t="s">
        <v>0</v>
      </c>
      <c r="E366" s="150" t="s">
        <v>0</v>
      </c>
      <c r="F366" s="145" t="s">
        <v>285</v>
      </c>
      <c r="G366" s="150" t="s">
        <v>0</v>
      </c>
      <c r="H366" s="150" t="s">
        <v>0</v>
      </c>
      <c r="I366" s="150" t="s">
        <v>0</v>
      </c>
      <c r="J366" s="151" t="s">
        <v>54</v>
      </c>
      <c r="K366" s="13">
        <v>22</v>
      </c>
      <c r="L366" s="12" t="s">
        <v>32</v>
      </c>
      <c r="M366" s="13">
        <v>22</v>
      </c>
      <c r="N366" s="13">
        <v>0</v>
      </c>
      <c r="O366" s="14">
        <v>22</v>
      </c>
      <c r="P366" s="113">
        <f t="shared" ref="P366:P367" si="1007">SUM(BM366:BS366)</f>
        <v>22</v>
      </c>
      <c r="Q366" s="114">
        <f t="shared" ref="Q366:Q367" si="1008">K366-P366</f>
        <v>0</v>
      </c>
      <c r="R366" s="114">
        <f t="shared" ref="R366:R367" si="1009">SUM(BU366:CA366)</f>
        <v>22</v>
      </c>
      <c r="S366" s="114">
        <f t="shared" ref="S366:S367" si="1010">O366-R366</f>
        <v>0</v>
      </c>
      <c r="T366" s="93">
        <f t="shared" ref="T366:T367" si="1011">R366/O366</f>
        <v>1</v>
      </c>
      <c r="U366" t="s">
        <v>0</v>
      </c>
      <c r="V366" s="79"/>
      <c r="W366" s="76"/>
      <c r="X366" s="76"/>
      <c r="Y366" s="76"/>
      <c r="Z366" s="76"/>
      <c r="AA366" s="80"/>
      <c r="AB366" s="79"/>
      <c r="AC366" s="76"/>
      <c r="AD366" s="76"/>
      <c r="AE366" s="76"/>
      <c r="AF366" s="76"/>
      <c r="AG366" s="80"/>
      <c r="AH366" s="79"/>
      <c r="AI366" s="76"/>
      <c r="AJ366" s="76"/>
      <c r="AK366" s="76"/>
      <c r="AL366" s="76">
        <v>10</v>
      </c>
      <c r="AM366" s="80"/>
      <c r="AN366" s="79"/>
      <c r="AO366" s="76"/>
      <c r="AP366" s="76"/>
      <c r="AQ366" s="76"/>
      <c r="AR366" s="76"/>
      <c r="AS366" s="80">
        <v>5</v>
      </c>
      <c r="AT366" s="79"/>
      <c r="AU366" s="76">
        <v>7</v>
      </c>
      <c r="AV366" s="76"/>
      <c r="AW366" s="76"/>
      <c r="AX366" s="76"/>
      <c r="AY366" s="80"/>
      <c r="AZ366" s="79"/>
      <c r="BA366" s="76"/>
      <c r="BB366" s="76"/>
      <c r="BC366" s="76"/>
      <c r="BD366" s="76"/>
      <c r="BE366" s="80"/>
      <c r="BF366" s="79"/>
      <c r="BG366" s="76"/>
      <c r="BH366" s="76"/>
      <c r="BI366" s="76"/>
      <c r="BJ366" s="76"/>
      <c r="BK366" s="80"/>
      <c r="BM366" s="125">
        <f t="shared" ref="BM366:BM367" si="1012">SUM(V366:AA366)</f>
        <v>0</v>
      </c>
      <c r="BN366" s="126">
        <f t="shared" ref="BN366:BN367" si="1013">SUM(AB366:AG366)</f>
        <v>0</v>
      </c>
      <c r="BO366" s="126">
        <f t="shared" ref="BO366:BO367" si="1014">SUM(AH366:AM366)</f>
        <v>10</v>
      </c>
      <c r="BP366" s="126">
        <f t="shared" ref="BP366:BP367" si="1015">SUM(AN366:AS366)</f>
        <v>5</v>
      </c>
      <c r="BQ366" s="126">
        <f>SUM(AT366:AY366)</f>
        <v>7</v>
      </c>
      <c r="BR366" s="126">
        <f t="shared" ref="BR366:BS367" si="1016">SUM(AZ366:BE366)</f>
        <v>0</v>
      </c>
      <c r="BS366" s="127">
        <f t="shared" ref="BS366:BS367" si="1017">SUM(BF366:BK366)</f>
        <v>0</v>
      </c>
      <c r="BT366" s="74"/>
      <c r="BU366" s="125">
        <f t="shared" ref="BU366:BU367" si="1018">(BM366/$K366)*$O366</f>
        <v>0</v>
      </c>
      <c r="BV366" s="126">
        <f t="shared" ref="BV366:BV367" si="1019">(BN366/$K366)*$O366</f>
        <v>0</v>
      </c>
      <c r="BW366" s="126">
        <f t="shared" ref="BW366:BW367" si="1020">(BO366/$K366)*$O366</f>
        <v>10</v>
      </c>
      <c r="BX366" s="126">
        <f t="shared" ref="BX366:BX367" si="1021">(BP366/$K366)*$O366</f>
        <v>5</v>
      </c>
      <c r="BY366" s="126">
        <f t="shared" ref="BY366:CA367" si="1022">(BQ366/$K366)*$O366</f>
        <v>7</v>
      </c>
      <c r="BZ366" s="126">
        <f t="shared" si="1022"/>
        <v>0</v>
      </c>
      <c r="CA366" s="126">
        <f t="shared" si="1022"/>
        <v>0</v>
      </c>
    </row>
    <row r="367" spans="1:79">
      <c r="A367" s="147" t="str">
        <f t="shared" si="933"/>
        <v>D</v>
      </c>
      <c r="B367" s="148">
        <f t="shared" si="934"/>
        <v>70000</v>
      </c>
      <c r="C367" s="149" t="s">
        <v>283</v>
      </c>
      <c r="D367" s="150" t="s">
        <v>0</v>
      </c>
      <c r="E367" s="150" t="s">
        <v>0</v>
      </c>
      <c r="F367" s="145" t="s">
        <v>286</v>
      </c>
      <c r="G367" s="150" t="s">
        <v>0</v>
      </c>
      <c r="H367" s="150" t="s">
        <v>0</v>
      </c>
      <c r="I367" s="150" t="s">
        <v>0</v>
      </c>
      <c r="J367" s="151" t="s">
        <v>54</v>
      </c>
      <c r="K367" s="13">
        <v>67</v>
      </c>
      <c r="L367" s="12" t="s">
        <v>32</v>
      </c>
      <c r="M367" s="13">
        <v>67</v>
      </c>
      <c r="N367" s="13">
        <v>0</v>
      </c>
      <c r="O367" s="14">
        <v>67</v>
      </c>
      <c r="P367" s="113">
        <f t="shared" si="1007"/>
        <v>67</v>
      </c>
      <c r="Q367" s="114">
        <f t="shared" si="1008"/>
        <v>0</v>
      </c>
      <c r="R367" s="114">
        <f t="shared" si="1009"/>
        <v>67</v>
      </c>
      <c r="S367" s="114">
        <f t="shared" si="1010"/>
        <v>0</v>
      </c>
      <c r="T367" s="93">
        <f t="shared" si="1011"/>
        <v>1</v>
      </c>
      <c r="U367" t="s">
        <v>0</v>
      </c>
      <c r="V367" s="79"/>
      <c r="W367" s="76"/>
      <c r="X367" s="76"/>
      <c r="Y367" s="76"/>
      <c r="Z367" s="76"/>
      <c r="AA367" s="80"/>
      <c r="AB367" s="79"/>
      <c r="AC367" s="76"/>
      <c r="AD367" s="76"/>
      <c r="AE367" s="76"/>
      <c r="AF367" s="76"/>
      <c r="AG367" s="80"/>
      <c r="AH367" s="79"/>
      <c r="AI367" s="76"/>
      <c r="AJ367" s="76"/>
      <c r="AK367" s="76"/>
      <c r="AL367" s="76"/>
      <c r="AM367" s="80"/>
      <c r="AN367" s="79"/>
      <c r="AO367" s="76"/>
      <c r="AP367" s="76"/>
      <c r="AQ367" s="76"/>
      <c r="AR367" s="76"/>
      <c r="AS367" s="80">
        <v>30</v>
      </c>
      <c r="AT367" s="79"/>
      <c r="AU367" s="76">
        <v>15</v>
      </c>
      <c r="AV367" s="76"/>
      <c r="AW367" s="76">
        <v>22</v>
      </c>
      <c r="AX367" s="76"/>
      <c r="AY367" s="80"/>
      <c r="AZ367" s="79"/>
      <c r="BA367" s="76"/>
      <c r="BB367" s="76"/>
      <c r="BC367" s="76"/>
      <c r="BD367" s="76"/>
      <c r="BE367" s="80"/>
      <c r="BF367" s="79"/>
      <c r="BG367" s="76"/>
      <c r="BH367" s="76"/>
      <c r="BI367" s="76"/>
      <c r="BJ367" s="76"/>
      <c r="BK367" s="80"/>
      <c r="BM367" s="125">
        <f t="shared" si="1012"/>
        <v>0</v>
      </c>
      <c r="BN367" s="126">
        <f t="shared" si="1013"/>
        <v>0</v>
      </c>
      <c r="BO367" s="126">
        <f t="shared" si="1014"/>
        <v>0</v>
      </c>
      <c r="BP367" s="126">
        <f t="shared" si="1015"/>
        <v>30</v>
      </c>
      <c r="BQ367" s="126">
        <f>SUM(AT367:AY367)</f>
        <v>37</v>
      </c>
      <c r="BR367" s="126">
        <f t="shared" si="1016"/>
        <v>0</v>
      </c>
      <c r="BS367" s="127">
        <f t="shared" si="1017"/>
        <v>0</v>
      </c>
      <c r="BT367" s="74"/>
      <c r="BU367" s="125">
        <f t="shared" si="1018"/>
        <v>0</v>
      </c>
      <c r="BV367" s="126">
        <f t="shared" si="1019"/>
        <v>0</v>
      </c>
      <c r="BW367" s="126">
        <f t="shared" si="1020"/>
        <v>0</v>
      </c>
      <c r="BX367" s="126">
        <f t="shared" si="1021"/>
        <v>30</v>
      </c>
      <c r="BY367" s="126">
        <f t="shared" si="1022"/>
        <v>37</v>
      </c>
      <c r="BZ367" s="126">
        <f t="shared" si="1022"/>
        <v>0</v>
      </c>
      <c r="CA367" s="126">
        <f t="shared" si="1022"/>
        <v>0</v>
      </c>
    </row>
    <row r="368" spans="1:79" ht="18.75">
      <c r="A368" s="158" t="str">
        <f t="shared" si="933"/>
        <v>W</v>
      </c>
      <c r="B368" s="159">
        <f t="shared" si="934"/>
        <v>90000</v>
      </c>
      <c r="C368" s="160" t="s">
        <v>14</v>
      </c>
      <c r="D368" s="161" t="s">
        <v>0</v>
      </c>
      <c r="E368" s="161" t="s">
        <v>0</v>
      </c>
      <c r="F368" s="162" t="s">
        <v>287</v>
      </c>
      <c r="G368" s="161" t="s">
        <v>0</v>
      </c>
      <c r="H368" s="161" t="s">
        <v>0</v>
      </c>
      <c r="I368" s="161" t="s">
        <v>0</v>
      </c>
      <c r="J368" s="163" t="s">
        <v>0</v>
      </c>
      <c r="K368" s="6" t="s">
        <v>0</v>
      </c>
      <c r="L368" s="3" t="s">
        <v>0</v>
      </c>
      <c r="M368" s="4">
        <v>222.35</v>
      </c>
      <c r="N368" s="4">
        <v>20.100000000000001</v>
      </c>
      <c r="O368" s="5">
        <v>242.45</v>
      </c>
      <c r="P368" s="115"/>
      <c r="Q368" s="116"/>
      <c r="R368" s="116">
        <f>SUMIFS(R369:R$415,$A369:$A$415,"P",$B369:$B$415,$B368)</f>
        <v>210.55</v>
      </c>
      <c r="S368" s="116">
        <f>SUMIFS(S369:S$415,$A369:$A$415,"P",$B369:$B$415,$B368)</f>
        <v>31.9</v>
      </c>
      <c r="T368" s="94">
        <f>R368/O368</f>
        <v>0.86842647968653341</v>
      </c>
      <c r="V368" s="77"/>
      <c r="W368" s="75"/>
      <c r="X368" s="75"/>
      <c r="Y368" s="75"/>
      <c r="Z368" s="75"/>
      <c r="AA368" s="78"/>
      <c r="AB368" s="77"/>
      <c r="AC368" s="75"/>
      <c r="AD368" s="75"/>
      <c r="AE368" s="75"/>
      <c r="AF368" s="75"/>
      <c r="AG368" s="78"/>
      <c r="AH368" s="77"/>
      <c r="AI368" s="75"/>
      <c r="AJ368" s="75"/>
      <c r="AK368" s="75"/>
      <c r="AL368" s="75"/>
      <c r="AM368" s="78"/>
      <c r="AN368" s="77"/>
      <c r="AO368" s="75"/>
      <c r="AP368" s="75"/>
      <c r="AQ368" s="75"/>
      <c r="AR368" s="75"/>
      <c r="AS368" s="78"/>
      <c r="AT368" s="77"/>
      <c r="AU368" s="75"/>
      <c r="AV368" s="75"/>
      <c r="AW368" s="75"/>
      <c r="AX368" s="75"/>
      <c r="AY368" s="78"/>
      <c r="AZ368" s="77"/>
      <c r="BA368" s="75"/>
      <c r="BB368" s="75"/>
      <c r="BC368" s="75"/>
      <c r="BD368" s="75"/>
      <c r="BE368" s="78"/>
      <c r="BF368" s="77"/>
      <c r="BG368" s="75"/>
      <c r="BH368" s="75"/>
      <c r="BI368" s="75"/>
      <c r="BJ368" s="75"/>
      <c r="BK368" s="78"/>
      <c r="BM368" s="122"/>
      <c r="BN368" s="123"/>
      <c r="BO368" s="123"/>
      <c r="BP368" s="123"/>
      <c r="BQ368" s="123"/>
      <c r="BR368" s="123"/>
      <c r="BS368" s="124"/>
      <c r="BT368" s="74"/>
      <c r="BU368" s="122"/>
      <c r="BV368" s="123"/>
      <c r="BW368" s="123"/>
      <c r="BX368" s="123"/>
      <c r="BY368" s="123"/>
      <c r="BZ368" s="123"/>
      <c r="CA368" s="123"/>
    </row>
    <row r="369" spans="1:79" ht="15.75">
      <c r="A369" s="152" t="str">
        <f t="shared" si="933"/>
        <v>P</v>
      </c>
      <c r="B369" s="153">
        <f t="shared" si="934"/>
        <v>90000</v>
      </c>
      <c r="C369" s="154" t="s">
        <v>288</v>
      </c>
      <c r="D369" s="155" t="s">
        <v>0</v>
      </c>
      <c r="E369" s="155" t="s">
        <v>0</v>
      </c>
      <c r="F369" s="156" t="s">
        <v>289</v>
      </c>
      <c r="G369" s="155" t="s">
        <v>0</v>
      </c>
      <c r="H369" s="155" t="s">
        <v>0</v>
      </c>
      <c r="I369" s="155" t="s">
        <v>0</v>
      </c>
      <c r="J369" s="157" t="s">
        <v>54</v>
      </c>
      <c r="K369" s="11" t="s">
        <v>0</v>
      </c>
      <c r="L369" s="8" t="s">
        <v>0</v>
      </c>
      <c r="M369" s="9">
        <v>52.85</v>
      </c>
      <c r="N369" s="9">
        <v>0</v>
      </c>
      <c r="O369" s="10">
        <v>52.85</v>
      </c>
      <c r="P369" s="111"/>
      <c r="Q369" s="112"/>
      <c r="R369" s="112">
        <f>SUMIFS(R370:R$415,$C370:$C$415,$C369)</f>
        <v>52.85</v>
      </c>
      <c r="S369" s="112">
        <f>SUMIFS(S370:S$415,$C370:$C$415,$C369)</f>
        <v>0</v>
      </c>
      <c r="T369" s="92">
        <f>R369/O369</f>
        <v>1</v>
      </c>
      <c r="V369" s="77"/>
      <c r="W369" s="75"/>
      <c r="X369" s="75"/>
      <c r="Y369" s="75"/>
      <c r="Z369" s="75"/>
      <c r="AA369" s="78"/>
      <c r="AB369" s="77"/>
      <c r="AC369" s="75"/>
      <c r="AD369" s="75"/>
      <c r="AE369" s="75"/>
      <c r="AF369" s="75"/>
      <c r="AG369" s="78"/>
      <c r="AH369" s="77"/>
      <c r="AI369" s="75"/>
      <c r="AJ369" s="75"/>
      <c r="AK369" s="75"/>
      <c r="AL369" s="75"/>
      <c r="AM369" s="78"/>
      <c r="AN369" s="77"/>
      <c r="AO369" s="75"/>
      <c r="AP369" s="75"/>
      <c r="AQ369" s="75"/>
      <c r="AR369" s="75"/>
      <c r="AS369" s="78"/>
      <c r="AT369" s="77"/>
      <c r="AU369" s="75"/>
      <c r="AV369" s="75"/>
      <c r="AW369" s="75"/>
      <c r="AX369" s="75"/>
      <c r="AY369" s="78"/>
      <c r="AZ369" s="77"/>
      <c r="BA369" s="75"/>
      <c r="BB369" s="75"/>
      <c r="BC369" s="75"/>
      <c r="BD369" s="75"/>
      <c r="BE369" s="78"/>
      <c r="BF369" s="77"/>
      <c r="BG369" s="75"/>
      <c r="BH369" s="75"/>
      <c r="BI369" s="75"/>
      <c r="BJ369" s="75"/>
      <c r="BK369" s="78"/>
      <c r="BM369" s="122"/>
      <c r="BN369" s="123"/>
      <c r="BO369" s="123"/>
      <c r="BP369" s="123"/>
      <c r="BQ369" s="123"/>
      <c r="BR369" s="123"/>
      <c r="BS369" s="124"/>
      <c r="BT369" s="74"/>
      <c r="BU369" s="122"/>
      <c r="BV369" s="123"/>
      <c r="BW369" s="123"/>
      <c r="BX369" s="123"/>
      <c r="BY369" s="123"/>
      <c r="BZ369" s="123"/>
      <c r="CA369" s="123"/>
    </row>
    <row r="370" spans="1:79">
      <c r="A370" s="147" t="str">
        <f t="shared" si="933"/>
        <v>D</v>
      </c>
      <c r="B370" s="148">
        <f t="shared" si="934"/>
        <v>90000</v>
      </c>
      <c r="C370" s="149" t="s">
        <v>288</v>
      </c>
      <c r="D370" s="150" t="s">
        <v>0</v>
      </c>
      <c r="E370" s="150" t="s">
        <v>0</v>
      </c>
      <c r="F370" s="145" t="s">
        <v>290</v>
      </c>
      <c r="G370" s="150" t="s">
        <v>0</v>
      </c>
      <c r="H370" s="150" t="s">
        <v>0</v>
      </c>
      <c r="I370" s="150" t="s">
        <v>0</v>
      </c>
      <c r="J370" s="151" t="s">
        <v>54</v>
      </c>
      <c r="K370" s="13">
        <v>140</v>
      </c>
      <c r="L370" s="12" t="s">
        <v>56</v>
      </c>
      <c r="M370" s="13">
        <v>33.6</v>
      </c>
      <c r="N370" s="13">
        <v>0</v>
      </c>
      <c r="O370" s="14">
        <v>33.6</v>
      </c>
      <c r="P370" s="113">
        <f t="shared" ref="P370:P372" si="1023">SUM(BM370:BS370)</f>
        <v>140</v>
      </c>
      <c r="Q370" s="114">
        <f t="shared" ref="Q370:Q372" si="1024">K370-P370</f>
        <v>0</v>
      </c>
      <c r="R370" s="114">
        <f t="shared" ref="R370:R372" si="1025">SUM(BU370:CA370)</f>
        <v>33.6</v>
      </c>
      <c r="S370" s="114">
        <f t="shared" ref="S370:S372" si="1026">O370-R370</f>
        <v>0</v>
      </c>
      <c r="T370" s="93">
        <f t="shared" ref="T370:T372" si="1027">R370/O370</f>
        <v>1</v>
      </c>
      <c r="U370" t="s">
        <v>0</v>
      </c>
      <c r="V370" s="79"/>
      <c r="W370" s="76"/>
      <c r="X370" s="76"/>
      <c r="Y370" s="76"/>
      <c r="Z370" s="76"/>
      <c r="AA370" s="80"/>
      <c r="AB370" s="79"/>
      <c r="AC370" s="76"/>
      <c r="AD370" s="76"/>
      <c r="AE370" s="76"/>
      <c r="AF370" s="76"/>
      <c r="AG370" s="80"/>
      <c r="AH370" s="79"/>
      <c r="AI370" s="76"/>
      <c r="AJ370" s="76"/>
      <c r="AK370" s="76"/>
      <c r="AL370" s="76"/>
      <c r="AM370" s="80"/>
      <c r="AN370" s="79"/>
      <c r="AO370" s="76"/>
      <c r="AP370" s="76"/>
      <c r="AQ370" s="76"/>
      <c r="AR370" s="76"/>
      <c r="AS370" s="80"/>
      <c r="AT370" s="79">
        <v>20</v>
      </c>
      <c r="AU370" s="76">
        <v>80</v>
      </c>
      <c r="AV370" s="76">
        <v>30</v>
      </c>
      <c r="AW370" s="76"/>
      <c r="AX370" s="76">
        <v>10</v>
      </c>
      <c r="AY370" s="80"/>
      <c r="AZ370" s="79"/>
      <c r="BA370" s="76"/>
      <c r="BB370" s="76"/>
      <c r="BC370" s="76"/>
      <c r="BD370" s="76"/>
      <c r="BE370" s="80"/>
      <c r="BF370" s="79"/>
      <c r="BG370" s="76"/>
      <c r="BH370" s="76"/>
      <c r="BI370" s="76"/>
      <c r="BJ370" s="76"/>
      <c r="BK370" s="80"/>
      <c r="BM370" s="125">
        <f t="shared" ref="BM370:BM372" si="1028">SUM(V370:AA370)</f>
        <v>0</v>
      </c>
      <c r="BN370" s="126">
        <f t="shared" ref="BN370:BN372" si="1029">SUM(AB370:AG370)</f>
        <v>0</v>
      </c>
      <c r="BO370" s="126">
        <f t="shared" ref="BO370:BO372" si="1030">SUM(AH370:AM370)</f>
        <v>0</v>
      </c>
      <c r="BP370" s="126">
        <f t="shared" ref="BP370:BP372" si="1031">SUM(AN370:AS370)</f>
        <v>0</v>
      </c>
      <c r="BQ370" s="126">
        <f>SUM(AT370:AY370)</f>
        <v>140</v>
      </c>
      <c r="BR370" s="126">
        <f t="shared" ref="BR370:BS372" si="1032">SUM(AZ370:BE370)</f>
        <v>0</v>
      </c>
      <c r="BS370" s="127">
        <f t="shared" ref="BS370:BS372" si="1033">SUM(BF370:BK370)</f>
        <v>0</v>
      </c>
      <c r="BT370" s="74"/>
      <c r="BU370" s="125">
        <f t="shared" ref="BU370:BU372" si="1034">(BM370/$K370)*$O370</f>
        <v>0</v>
      </c>
      <c r="BV370" s="126">
        <f t="shared" ref="BV370:BV372" si="1035">(BN370/$K370)*$O370</f>
        <v>0</v>
      </c>
      <c r="BW370" s="126">
        <f t="shared" ref="BW370:BW372" si="1036">(BO370/$K370)*$O370</f>
        <v>0</v>
      </c>
      <c r="BX370" s="126">
        <f t="shared" ref="BX370:BX372" si="1037">(BP370/$K370)*$O370</f>
        <v>0</v>
      </c>
      <c r="BY370" s="126">
        <f t="shared" ref="BY370:CA372" si="1038">(BQ370/$K370)*$O370</f>
        <v>33.6</v>
      </c>
      <c r="BZ370" s="126">
        <f t="shared" si="1038"/>
        <v>0</v>
      </c>
      <c r="CA370" s="126">
        <f t="shared" si="1038"/>
        <v>0</v>
      </c>
    </row>
    <row r="371" spans="1:79">
      <c r="A371" s="147" t="str">
        <f t="shared" si="933"/>
        <v>D</v>
      </c>
      <c r="B371" s="148">
        <f t="shared" si="934"/>
        <v>90000</v>
      </c>
      <c r="C371" s="149" t="s">
        <v>288</v>
      </c>
      <c r="D371" s="150" t="s">
        <v>0</v>
      </c>
      <c r="E371" s="150" t="s">
        <v>0</v>
      </c>
      <c r="F371" s="145" t="s">
        <v>291</v>
      </c>
      <c r="G371" s="150" t="s">
        <v>0</v>
      </c>
      <c r="H371" s="150" t="s">
        <v>0</v>
      </c>
      <c r="I371" s="150" t="s">
        <v>0</v>
      </c>
      <c r="J371" s="151" t="s">
        <v>54</v>
      </c>
      <c r="K371" s="13">
        <v>14</v>
      </c>
      <c r="L371" s="12" t="s">
        <v>32</v>
      </c>
      <c r="M371" s="13">
        <v>14</v>
      </c>
      <c r="N371" s="13">
        <v>0</v>
      </c>
      <c r="O371" s="14">
        <v>14</v>
      </c>
      <c r="P371" s="113">
        <f t="shared" si="1023"/>
        <v>14</v>
      </c>
      <c r="Q371" s="114">
        <f t="shared" si="1024"/>
        <v>0</v>
      </c>
      <c r="R371" s="114">
        <f t="shared" si="1025"/>
        <v>14</v>
      </c>
      <c r="S371" s="114">
        <f t="shared" si="1026"/>
        <v>0</v>
      </c>
      <c r="T371" s="93">
        <f t="shared" si="1027"/>
        <v>1</v>
      </c>
      <c r="U371" t="s">
        <v>0</v>
      </c>
      <c r="V371" s="79"/>
      <c r="W371" s="76"/>
      <c r="X371" s="76"/>
      <c r="Y371" s="76"/>
      <c r="Z371" s="76"/>
      <c r="AA371" s="80"/>
      <c r="AB371" s="79"/>
      <c r="AC371" s="76"/>
      <c r="AD371" s="76"/>
      <c r="AE371" s="76"/>
      <c r="AF371" s="76"/>
      <c r="AG371" s="80"/>
      <c r="AH371" s="79"/>
      <c r="AI371" s="76"/>
      <c r="AJ371" s="76"/>
      <c r="AK371" s="76"/>
      <c r="AL371" s="76"/>
      <c r="AM371" s="80"/>
      <c r="AN371" s="79"/>
      <c r="AO371" s="76"/>
      <c r="AP371" s="76"/>
      <c r="AQ371" s="76"/>
      <c r="AR371" s="76"/>
      <c r="AS371" s="80"/>
      <c r="AT371" s="79"/>
      <c r="AU371" s="76">
        <v>12</v>
      </c>
      <c r="AV371" s="76">
        <v>2</v>
      </c>
      <c r="AW371" s="76"/>
      <c r="AX371" s="76"/>
      <c r="AY371" s="80"/>
      <c r="AZ371" s="79"/>
      <c r="BA371" s="76"/>
      <c r="BB371" s="76"/>
      <c r="BC371" s="76"/>
      <c r="BD371" s="76"/>
      <c r="BE371" s="80"/>
      <c r="BF371" s="79"/>
      <c r="BG371" s="76"/>
      <c r="BH371" s="76"/>
      <c r="BI371" s="76"/>
      <c r="BJ371" s="76"/>
      <c r="BK371" s="80"/>
      <c r="BM371" s="125">
        <f t="shared" si="1028"/>
        <v>0</v>
      </c>
      <c r="BN371" s="126">
        <f t="shared" si="1029"/>
        <v>0</v>
      </c>
      <c r="BO371" s="126">
        <f t="shared" si="1030"/>
        <v>0</v>
      </c>
      <c r="BP371" s="126">
        <f t="shared" si="1031"/>
        <v>0</v>
      </c>
      <c r="BQ371" s="126">
        <f>SUM(AT371:AY371)</f>
        <v>14</v>
      </c>
      <c r="BR371" s="126">
        <f t="shared" si="1032"/>
        <v>0</v>
      </c>
      <c r="BS371" s="127">
        <f t="shared" si="1033"/>
        <v>0</v>
      </c>
      <c r="BT371" s="74"/>
      <c r="BU371" s="125">
        <f t="shared" si="1034"/>
        <v>0</v>
      </c>
      <c r="BV371" s="126">
        <f t="shared" si="1035"/>
        <v>0</v>
      </c>
      <c r="BW371" s="126">
        <f t="shared" si="1036"/>
        <v>0</v>
      </c>
      <c r="BX371" s="126">
        <f t="shared" si="1037"/>
        <v>0</v>
      </c>
      <c r="BY371" s="126">
        <f t="shared" si="1038"/>
        <v>14</v>
      </c>
      <c r="BZ371" s="126">
        <f t="shared" si="1038"/>
        <v>0</v>
      </c>
      <c r="CA371" s="126">
        <f t="shared" si="1038"/>
        <v>0</v>
      </c>
    </row>
    <row r="372" spans="1:79">
      <c r="A372" s="147" t="str">
        <f t="shared" si="933"/>
        <v>D</v>
      </c>
      <c r="B372" s="148">
        <f t="shared" si="934"/>
        <v>90000</v>
      </c>
      <c r="C372" s="149" t="s">
        <v>288</v>
      </c>
      <c r="D372" s="150" t="s">
        <v>0</v>
      </c>
      <c r="E372" s="150" t="s">
        <v>0</v>
      </c>
      <c r="F372" s="145" t="s">
        <v>292</v>
      </c>
      <c r="G372" s="150" t="s">
        <v>0</v>
      </c>
      <c r="H372" s="150" t="s">
        <v>0</v>
      </c>
      <c r="I372" s="150" t="s">
        <v>0</v>
      </c>
      <c r="J372" s="151" t="s">
        <v>54</v>
      </c>
      <c r="K372" s="13">
        <v>35</v>
      </c>
      <c r="L372" s="12" t="s">
        <v>32</v>
      </c>
      <c r="M372" s="13">
        <v>5.25</v>
      </c>
      <c r="N372" s="13">
        <v>0</v>
      </c>
      <c r="O372" s="14">
        <v>5.25</v>
      </c>
      <c r="P372" s="113">
        <f t="shared" si="1023"/>
        <v>35</v>
      </c>
      <c r="Q372" s="114">
        <f t="shared" si="1024"/>
        <v>0</v>
      </c>
      <c r="R372" s="114">
        <f t="shared" si="1025"/>
        <v>5.25</v>
      </c>
      <c r="S372" s="114">
        <f t="shared" si="1026"/>
        <v>0</v>
      </c>
      <c r="T372" s="93">
        <f t="shared" si="1027"/>
        <v>1</v>
      </c>
      <c r="U372" t="s">
        <v>0</v>
      </c>
      <c r="V372" s="79"/>
      <c r="W372" s="76"/>
      <c r="X372" s="76"/>
      <c r="Y372" s="76"/>
      <c r="Z372" s="76"/>
      <c r="AA372" s="80"/>
      <c r="AB372" s="79"/>
      <c r="AC372" s="76"/>
      <c r="AD372" s="76"/>
      <c r="AE372" s="76"/>
      <c r="AF372" s="76"/>
      <c r="AG372" s="80"/>
      <c r="AH372" s="79"/>
      <c r="AI372" s="76"/>
      <c r="AJ372" s="76"/>
      <c r="AK372" s="76"/>
      <c r="AL372" s="76"/>
      <c r="AM372" s="80"/>
      <c r="AN372" s="79"/>
      <c r="AO372" s="76"/>
      <c r="AP372" s="76"/>
      <c r="AQ372" s="76"/>
      <c r="AR372" s="76"/>
      <c r="AS372" s="80"/>
      <c r="AT372" s="79"/>
      <c r="AU372" s="76">
        <v>30</v>
      </c>
      <c r="AV372" s="76">
        <v>5</v>
      </c>
      <c r="AW372" s="76"/>
      <c r="AX372" s="76"/>
      <c r="AY372" s="80"/>
      <c r="AZ372" s="79"/>
      <c r="BA372" s="76"/>
      <c r="BB372" s="76"/>
      <c r="BC372" s="76"/>
      <c r="BD372" s="76"/>
      <c r="BE372" s="80"/>
      <c r="BF372" s="79"/>
      <c r="BG372" s="76"/>
      <c r="BH372" s="76"/>
      <c r="BI372" s="76"/>
      <c r="BJ372" s="76"/>
      <c r="BK372" s="80"/>
      <c r="BM372" s="125">
        <f t="shared" si="1028"/>
        <v>0</v>
      </c>
      <c r="BN372" s="126">
        <f t="shared" si="1029"/>
        <v>0</v>
      </c>
      <c r="BO372" s="126">
        <f t="shared" si="1030"/>
        <v>0</v>
      </c>
      <c r="BP372" s="126">
        <f t="shared" si="1031"/>
        <v>0</v>
      </c>
      <c r="BQ372" s="126">
        <f>SUM(AT372:AY372)</f>
        <v>35</v>
      </c>
      <c r="BR372" s="126">
        <f t="shared" si="1032"/>
        <v>0</v>
      </c>
      <c r="BS372" s="127">
        <f t="shared" si="1033"/>
        <v>0</v>
      </c>
      <c r="BT372" s="74"/>
      <c r="BU372" s="125">
        <f t="shared" si="1034"/>
        <v>0</v>
      </c>
      <c r="BV372" s="126">
        <f t="shared" si="1035"/>
        <v>0</v>
      </c>
      <c r="BW372" s="126">
        <f t="shared" si="1036"/>
        <v>0</v>
      </c>
      <c r="BX372" s="126">
        <f t="shared" si="1037"/>
        <v>0</v>
      </c>
      <c r="BY372" s="126">
        <f t="shared" si="1038"/>
        <v>5.25</v>
      </c>
      <c r="BZ372" s="126">
        <f t="shared" si="1038"/>
        <v>0</v>
      </c>
      <c r="CA372" s="126">
        <f t="shared" si="1038"/>
        <v>0</v>
      </c>
    </row>
    <row r="373" spans="1:79" ht="15.75">
      <c r="A373" s="152" t="str">
        <f t="shared" si="933"/>
        <v>P</v>
      </c>
      <c r="B373" s="153">
        <f t="shared" si="934"/>
        <v>90000</v>
      </c>
      <c r="C373" s="154" t="s">
        <v>293</v>
      </c>
      <c r="D373" s="155" t="s">
        <v>0</v>
      </c>
      <c r="E373" s="155" t="s">
        <v>0</v>
      </c>
      <c r="F373" s="156" t="s">
        <v>294</v>
      </c>
      <c r="G373" s="155" t="s">
        <v>0</v>
      </c>
      <c r="H373" s="155" t="s">
        <v>0</v>
      </c>
      <c r="I373" s="155" t="s">
        <v>0</v>
      </c>
      <c r="J373" s="157" t="s">
        <v>54</v>
      </c>
      <c r="K373" s="11" t="s">
        <v>0</v>
      </c>
      <c r="L373" s="8" t="s">
        <v>0</v>
      </c>
      <c r="M373" s="9">
        <v>12.7</v>
      </c>
      <c r="N373" s="9">
        <v>0</v>
      </c>
      <c r="O373" s="10">
        <v>12.7</v>
      </c>
      <c r="P373" s="111"/>
      <c r="Q373" s="112"/>
      <c r="R373" s="112">
        <f>SUMIFS(R374:R$415,$C374:$C$415,$C373)</f>
        <v>12.7</v>
      </c>
      <c r="S373" s="112">
        <f>SUMIFS(S374:S$415,$C374:$C$415,$C373)</f>
        <v>0</v>
      </c>
      <c r="T373" s="92">
        <f>R373/O373</f>
        <v>1</v>
      </c>
      <c r="V373" s="77"/>
      <c r="W373" s="75"/>
      <c r="X373" s="75"/>
      <c r="Y373" s="75"/>
      <c r="Z373" s="75"/>
      <c r="AA373" s="78"/>
      <c r="AB373" s="77"/>
      <c r="AC373" s="75"/>
      <c r="AD373" s="75"/>
      <c r="AE373" s="75"/>
      <c r="AF373" s="75"/>
      <c r="AG373" s="78"/>
      <c r="AH373" s="77"/>
      <c r="AI373" s="75"/>
      <c r="AJ373" s="75"/>
      <c r="AK373" s="75"/>
      <c r="AL373" s="75"/>
      <c r="AM373" s="78"/>
      <c r="AN373" s="77"/>
      <c r="AO373" s="75"/>
      <c r="AP373" s="75"/>
      <c r="AQ373" s="75"/>
      <c r="AR373" s="75"/>
      <c r="AS373" s="78"/>
      <c r="AT373" s="77"/>
      <c r="AU373" s="75"/>
      <c r="AV373" s="75"/>
      <c r="AW373" s="75"/>
      <c r="AX373" s="75"/>
      <c r="AY373" s="78"/>
      <c r="AZ373" s="77"/>
      <c r="BA373" s="75"/>
      <c r="BB373" s="75"/>
      <c r="BC373" s="75"/>
      <c r="BD373" s="75"/>
      <c r="BE373" s="78"/>
      <c r="BF373" s="77"/>
      <c r="BG373" s="75"/>
      <c r="BH373" s="75"/>
      <c r="BI373" s="75"/>
      <c r="BJ373" s="75"/>
      <c r="BK373" s="78"/>
      <c r="BM373" s="122"/>
      <c r="BN373" s="123"/>
      <c r="BO373" s="123"/>
      <c r="BP373" s="123"/>
      <c r="BQ373" s="123"/>
      <c r="BR373" s="123"/>
      <c r="BS373" s="124"/>
      <c r="BT373" s="74"/>
      <c r="BU373" s="122"/>
      <c r="BV373" s="123"/>
      <c r="BW373" s="123"/>
      <c r="BX373" s="123"/>
      <c r="BY373" s="123"/>
      <c r="BZ373" s="123"/>
      <c r="CA373" s="123"/>
    </row>
    <row r="374" spans="1:79">
      <c r="A374" s="147" t="str">
        <f t="shared" si="933"/>
        <v>D</v>
      </c>
      <c r="B374" s="148">
        <f t="shared" si="934"/>
        <v>90000</v>
      </c>
      <c r="C374" s="149" t="s">
        <v>293</v>
      </c>
      <c r="D374" s="150" t="s">
        <v>0</v>
      </c>
      <c r="E374" s="150" t="s">
        <v>0</v>
      </c>
      <c r="F374" s="145" t="s">
        <v>222</v>
      </c>
      <c r="G374" s="150" t="s">
        <v>0</v>
      </c>
      <c r="H374" s="150" t="s">
        <v>0</v>
      </c>
      <c r="I374" s="150" t="s">
        <v>0</v>
      </c>
      <c r="J374" s="151" t="s">
        <v>54</v>
      </c>
      <c r="K374" s="13">
        <v>10</v>
      </c>
      <c r="L374" s="12" t="s">
        <v>56</v>
      </c>
      <c r="M374" s="13">
        <v>2</v>
      </c>
      <c r="N374" s="13">
        <v>0</v>
      </c>
      <c r="O374" s="14">
        <v>2</v>
      </c>
      <c r="P374" s="113">
        <f t="shared" ref="P374:P380" si="1039">SUM(BM374:BS374)</f>
        <v>10</v>
      </c>
      <c r="Q374" s="114">
        <f t="shared" ref="Q374:Q380" si="1040">K374-P374</f>
        <v>0</v>
      </c>
      <c r="R374" s="114">
        <f t="shared" ref="R374:R380" si="1041">SUM(BU374:CA374)</f>
        <v>2</v>
      </c>
      <c r="S374" s="114">
        <f t="shared" ref="S374:S380" si="1042">O374-R374</f>
        <v>0</v>
      </c>
      <c r="T374" s="93">
        <f t="shared" ref="T374:T380" si="1043">R374/O374</f>
        <v>1</v>
      </c>
      <c r="U374" t="s">
        <v>0</v>
      </c>
      <c r="V374" s="79"/>
      <c r="W374" s="76"/>
      <c r="X374" s="76"/>
      <c r="Y374" s="76"/>
      <c r="Z374" s="76"/>
      <c r="AA374" s="80"/>
      <c r="AB374" s="79"/>
      <c r="AC374" s="76"/>
      <c r="AD374" s="76"/>
      <c r="AE374" s="76"/>
      <c r="AF374" s="76"/>
      <c r="AG374" s="80"/>
      <c r="AH374" s="79"/>
      <c r="AI374" s="76"/>
      <c r="AJ374" s="76"/>
      <c r="AK374" s="76"/>
      <c r="AL374" s="76"/>
      <c r="AM374" s="80"/>
      <c r="AN374" s="79"/>
      <c r="AO374" s="76"/>
      <c r="AP374" s="76"/>
      <c r="AQ374" s="76"/>
      <c r="AR374" s="76"/>
      <c r="AS374" s="80"/>
      <c r="AT374" s="79"/>
      <c r="AU374" s="76"/>
      <c r="AV374" s="76"/>
      <c r="AW374" s="76">
        <v>10</v>
      </c>
      <c r="AX374" s="76"/>
      <c r="AY374" s="80"/>
      <c r="AZ374" s="79"/>
      <c r="BA374" s="76"/>
      <c r="BB374" s="76"/>
      <c r="BC374" s="76"/>
      <c r="BD374" s="76"/>
      <c r="BE374" s="80"/>
      <c r="BF374" s="79"/>
      <c r="BG374" s="76"/>
      <c r="BH374" s="76"/>
      <c r="BI374" s="76"/>
      <c r="BJ374" s="76"/>
      <c r="BK374" s="80"/>
      <c r="BM374" s="125">
        <f t="shared" ref="BM374:BM380" si="1044">SUM(V374:AA374)</f>
        <v>0</v>
      </c>
      <c r="BN374" s="126">
        <f t="shared" ref="BN374:BN380" si="1045">SUM(AB374:AG374)</f>
        <v>0</v>
      </c>
      <c r="BO374" s="126">
        <f t="shared" ref="BO374:BO380" si="1046">SUM(AH374:AM374)</f>
        <v>0</v>
      </c>
      <c r="BP374" s="126">
        <f t="shared" ref="BP374:BP380" si="1047">SUM(AN374:AS374)</f>
        <v>0</v>
      </c>
      <c r="BQ374" s="126">
        <f>SUM(AT374:AY374)</f>
        <v>10</v>
      </c>
      <c r="BR374" s="126">
        <f t="shared" ref="BR374:BS380" si="1048">SUM(AZ374:BE374)</f>
        <v>0</v>
      </c>
      <c r="BS374" s="127">
        <f t="shared" ref="BS374:BS380" si="1049">SUM(BF374:BK374)</f>
        <v>0</v>
      </c>
      <c r="BT374" s="74"/>
      <c r="BU374" s="125">
        <f t="shared" ref="BU374:BU380" si="1050">(BM374/$K374)*$O374</f>
        <v>0</v>
      </c>
      <c r="BV374" s="126">
        <f t="shared" ref="BV374:BV380" si="1051">(BN374/$K374)*$O374</f>
        <v>0</v>
      </c>
      <c r="BW374" s="126">
        <f t="shared" ref="BW374:BW380" si="1052">(BO374/$K374)*$O374</f>
        <v>0</v>
      </c>
      <c r="BX374" s="126">
        <f t="shared" ref="BX374:BX380" si="1053">(BP374/$K374)*$O374</f>
        <v>0</v>
      </c>
      <c r="BY374" s="126">
        <f t="shared" ref="BY374:CA380" si="1054">(BQ374/$K374)*$O374</f>
        <v>2</v>
      </c>
      <c r="BZ374" s="126">
        <f t="shared" si="1054"/>
        <v>0</v>
      </c>
      <c r="CA374" s="126">
        <f t="shared" si="1054"/>
        <v>0</v>
      </c>
    </row>
    <row r="375" spans="1:79">
      <c r="A375" s="147" t="str">
        <f t="shared" si="933"/>
        <v>D</v>
      </c>
      <c r="B375" s="148">
        <f t="shared" si="934"/>
        <v>90000</v>
      </c>
      <c r="C375" s="149" t="s">
        <v>293</v>
      </c>
      <c r="D375" s="150" t="s">
        <v>0</v>
      </c>
      <c r="E375" s="150" t="s">
        <v>0</v>
      </c>
      <c r="F375" s="145" t="s">
        <v>223</v>
      </c>
      <c r="G375" s="150" t="s">
        <v>0</v>
      </c>
      <c r="H375" s="150" t="s">
        <v>0</v>
      </c>
      <c r="I375" s="150" t="s">
        <v>0</v>
      </c>
      <c r="J375" s="151" t="s">
        <v>54</v>
      </c>
      <c r="K375" s="13">
        <v>3</v>
      </c>
      <c r="L375" s="12" t="s">
        <v>32</v>
      </c>
      <c r="M375" s="13">
        <v>2.25</v>
      </c>
      <c r="N375" s="13">
        <v>0</v>
      </c>
      <c r="O375" s="14">
        <v>2.25</v>
      </c>
      <c r="P375" s="113">
        <f t="shared" si="1039"/>
        <v>3</v>
      </c>
      <c r="Q375" s="114">
        <f t="shared" si="1040"/>
        <v>0</v>
      </c>
      <c r="R375" s="114">
        <f t="shared" si="1041"/>
        <v>2.25</v>
      </c>
      <c r="S375" s="114">
        <f t="shared" si="1042"/>
        <v>0</v>
      </c>
      <c r="T375" s="93">
        <f t="shared" si="1043"/>
        <v>1</v>
      </c>
      <c r="U375" t="s">
        <v>0</v>
      </c>
      <c r="V375" s="79"/>
      <c r="W375" s="76"/>
      <c r="X375" s="76"/>
      <c r="Y375" s="76"/>
      <c r="Z375" s="76"/>
      <c r="AA375" s="80"/>
      <c r="AB375" s="79"/>
      <c r="AC375" s="76"/>
      <c r="AD375" s="76"/>
      <c r="AE375" s="76"/>
      <c r="AF375" s="76"/>
      <c r="AG375" s="80"/>
      <c r="AH375" s="79"/>
      <c r="AI375" s="76"/>
      <c r="AJ375" s="76"/>
      <c r="AK375" s="76"/>
      <c r="AL375" s="76"/>
      <c r="AM375" s="80"/>
      <c r="AN375" s="79"/>
      <c r="AO375" s="76"/>
      <c r="AP375" s="76"/>
      <c r="AQ375" s="76"/>
      <c r="AR375" s="76"/>
      <c r="AS375" s="80"/>
      <c r="AT375" s="79"/>
      <c r="AU375" s="76"/>
      <c r="AV375" s="76"/>
      <c r="AW375" s="76">
        <v>3</v>
      </c>
      <c r="AX375" s="76"/>
      <c r="AY375" s="80"/>
      <c r="AZ375" s="79"/>
      <c r="BA375" s="76"/>
      <c r="BB375" s="76"/>
      <c r="BC375" s="76"/>
      <c r="BD375" s="76"/>
      <c r="BE375" s="80"/>
      <c r="BF375" s="79"/>
      <c r="BG375" s="76"/>
      <c r="BH375" s="76"/>
      <c r="BI375" s="76"/>
      <c r="BJ375" s="76"/>
      <c r="BK375" s="80"/>
      <c r="BM375" s="125">
        <f t="shared" si="1044"/>
        <v>0</v>
      </c>
      <c r="BN375" s="126">
        <f t="shared" si="1045"/>
        <v>0</v>
      </c>
      <c r="BO375" s="126">
        <f t="shared" si="1046"/>
        <v>0</v>
      </c>
      <c r="BP375" s="126">
        <f t="shared" si="1047"/>
        <v>0</v>
      </c>
      <c r="BQ375" s="126">
        <f>SUM(AT375:AY375)</f>
        <v>3</v>
      </c>
      <c r="BR375" s="126">
        <f t="shared" si="1048"/>
        <v>0</v>
      </c>
      <c r="BS375" s="127">
        <f t="shared" si="1049"/>
        <v>0</v>
      </c>
      <c r="BT375" s="74"/>
      <c r="BU375" s="125">
        <f t="shared" si="1050"/>
        <v>0</v>
      </c>
      <c r="BV375" s="126">
        <f t="shared" si="1051"/>
        <v>0</v>
      </c>
      <c r="BW375" s="126">
        <f t="shared" si="1052"/>
        <v>0</v>
      </c>
      <c r="BX375" s="126">
        <f t="shared" si="1053"/>
        <v>0</v>
      </c>
      <c r="BY375" s="126">
        <f t="shared" si="1054"/>
        <v>2.25</v>
      </c>
      <c r="BZ375" s="126">
        <f t="shared" si="1054"/>
        <v>0</v>
      </c>
      <c r="CA375" s="126">
        <f t="shared" si="1054"/>
        <v>0</v>
      </c>
    </row>
    <row r="376" spans="1:79">
      <c r="A376" s="147" t="str">
        <f t="shared" si="933"/>
        <v>D</v>
      </c>
      <c r="B376" s="148">
        <f t="shared" si="934"/>
        <v>90000</v>
      </c>
      <c r="C376" s="149" t="s">
        <v>293</v>
      </c>
      <c r="D376" s="150" t="s">
        <v>0</v>
      </c>
      <c r="E376" s="150" t="s">
        <v>0</v>
      </c>
      <c r="F376" s="145" t="s">
        <v>256</v>
      </c>
      <c r="G376" s="150" t="s">
        <v>0</v>
      </c>
      <c r="H376" s="150" t="s">
        <v>0</v>
      </c>
      <c r="I376" s="150" t="s">
        <v>0</v>
      </c>
      <c r="J376" s="151" t="s">
        <v>54</v>
      </c>
      <c r="K376" s="13">
        <v>10</v>
      </c>
      <c r="L376" s="12" t="s">
        <v>56</v>
      </c>
      <c r="M376" s="13">
        <v>1</v>
      </c>
      <c r="N376" s="13">
        <v>0</v>
      </c>
      <c r="O376" s="14">
        <v>1</v>
      </c>
      <c r="P376" s="113">
        <f t="shared" si="1039"/>
        <v>10</v>
      </c>
      <c r="Q376" s="114">
        <f t="shared" si="1040"/>
        <v>0</v>
      </c>
      <c r="R376" s="114">
        <f t="shared" si="1041"/>
        <v>1</v>
      </c>
      <c r="S376" s="114">
        <f t="shared" si="1042"/>
        <v>0</v>
      </c>
      <c r="T376" s="93">
        <f t="shared" si="1043"/>
        <v>1</v>
      </c>
      <c r="U376" t="s">
        <v>0</v>
      </c>
      <c r="V376" s="79"/>
      <c r="W376" s="76"/>
      <c r="X376" s="76"/>
      <c r="Y376" s="76"/>
      <c r="Z376" s="76"/>
      <c r="AA376" s="80"/>
      <c r="AB376" s="79"/>
      <c r="AC376" s="76"/>
      <c r="AD376" s="76"/>
      <c r="AE376" s="76"/>
      <c r="AF376" s="76"/>
      <c r="AG376" s="80"/>
      <c r="AH376" s="79"/>
      <c r="AI376" s="76"/>
      <c r="AJ376" s="76"/>
      <c r="AK376" s="76"/>
      <c r="AL376" s="76"/>
      <c r="AM376" s="80"/>
      <c r="AN376" s="79"/>
      <c r="AO376" s="76"/>
      <c r="AP376" s="76"/>
      <c r="AQ376" s="76"/>
      <c r="AR376" s="76"/>
      <c r="AS376" s="80"/>
      <c r="AT376" s="79"/>
      <c r="AU376" s="76"/>
      <c r="AV376" s="76"/>
      <c r="AW376" s="76">
        <v>10</v>
      </c>
      <c r="AX376" s="76"/>
      <c r="AY376" s="80"/>
      <c r="AZ376" s="79"/>
      <c r="BA376" s="76"/>
      <c r="BB376" s="76"/>
      <c r="BC376" s="76"/>
      <c r="BD376" s="76"/>
      <c r="BE376" s="80"/>
      <c r="BF376" s="79"/>
      <c r="BG376" s="76"/>
      <c r="BH376" s="76"/>
      <c r="BI376" s="76"/>
      <c r="BJ376" s="76"/>
      <c r="BK376" s="80"/>
      <c r="BM376" s="125">
        <f t="shared" si="1044"/>
        <v>0</v>
      </c>
      <c r="BN376" s="126">
        <f t="shared" si="1045"/>
        <v>0</v>
      </c>
      <c r="BO376" s="126">
        <f t="shared" si="1046"/>
        <v>0</v>
      </c>
      <c r="BP376" s="126">
        <f t="shared" si="1047"/>
        <v>0</v>
      </c>
      <c r="BQ376" s="126">
        <f>SUM(AT376:AY376)</f>
        <v>10</v>
      </c>
      <c r="BR376" s="126">
        <f t="shared" si="1048"/>
        <v>0</v>
      </c>
      <c r="BS376" s="127">
        <f t="shared" si="1049"/>
        <v>0</v>
      </c>
      <c r="BT376" s="74"/>
      <c r="BU376" s="125">
        <f t="shared" si="1050"/>
        <v>0</v>
      </c>
      <c r="BV376" s="126">
        <f t="shared" si="1051"/>
        <v>0</v>
      </c>
      <c r="BW376" s="126">
        <f t="shared" si="1052"/>
        <v>0</v>
      </c>
      <c r="BX376" s="126">
        <f t="shared" si="1053"/>
        <v>0</v>
      </c>
      <c r="BY376" s="126">
        <f t="shared" si="1054"/>
        <v>1</v>
      </c>
      <c r="BZ376" s="126">
        <f t="shared" si="1054"/>
        <v>0</v>
      </c>
      <c r="CA376" s="126">
        <f t="shared" si="1054"/>
        <v>0</v>
      </c>
    </row>
    <row r="377" spans="1:79">
      <c r="A377" s="147" t="str">
        <f t="shared" si="933"/>
        <v>D</v>
      </c>
      <c r="B377" s="148">
        <f t="shared" si="934"/>
        <v>90000</v>
      </c>
      <c r="C377" s="149" t="s">
        <v>293</v>
      </c>
      <c r="D377" s="150" t="s">
        <v>0</v>
      </c>
      <c r="E377" s="150" t="s">
        <v>0</v>
      </c>
      <c r="F377" s="145" t="s">
        <v>295</v>
      </c>
      <c r="G377" s="150" t="s">
        <v>0</v>
      </c>
      <c r="H377" s="150" t="s">
        <v>0</v>
      </c>
      <c r="I377" s="150" t="s">
        <v>0</v>
      </c>
      <c r="J377" s="151" t="s">
        <v>54</v>
      </c>
      <c r="K377" s="13">
        <v>3</v>
      </c>
      <c r="L377" s="12" t="s">
        <v>32</v>
      </c>
      <c r="M377" s="13">
        <v>3</v>
      </c>
      <c r="N377" s="13">
        <v>0</v>
      </c>
      <c r="O377" s="14">
        <v>3</v>
      </c>
      <c r="P377" s="113">
        <f t="shared" si="1039"/>
        <v>3</v>
      </c>
      <c r="Q377" s="114">
        <f t="shared" si="1040"/>
        <v>0</v>
      </c>
      <c r="R377" s="114">
        <f t="shared" si="1041"/>
        <v>3</v>
      </c>
      <c r="S377" s="114">
        <f t="shared" si="1042"/>
        <v>0</v>
      </c>
      <c r="T377" s="93">
        <f t="shared" si="1043"/>
        <v>1</v>
      </c>
      <c r="U377" t="s">
        <v>0</v>
      </c>
      <c r="V377" s="79"/>
      <c r="W377" s="76"/>
      <c r="X377" s="76"/>
      <c r="Y377" s="76"/>
      <c r="Z377" s="76"/>
      <c r="AA377" s="80"/>
      <c r="AB377" s="79"/>
      <c r="AC377" s="76"/>
      <c r="AD377" s="76"/>
      <c r="AE377" s="76"/>
      <c r="AF377" s="76"/>
      <c r="AG377" s="80"/>
      <c r="AH377" s="79"/>
      <c r="AI377" s="76"/>
      <c r="AJ377" s="76"/>
      <c r="AK377" s="76"/>
      <c r="AL377" s="76"/>
      <c r="AM377" s="80"/>
      <c r="AN377" s="79"/>
      <c r="AO377" s="76"/>
      <c r="AP377" s="76"/>
      <c r="AQ377" s="76"/>
      <c r="AR377" s="76"/>
      <c r="AS377" s="80"/>
      <c r="AT377" s="79"/>
      <c r="AU377" s="76"/>
      <c r="AV377" s="76"/>
      <c r="AW377" s="76">
        <v>3</v>
      </c>
      <c r="AX377" s="76"/>
      <c r="AY377" s="80"/>
      <c r="AZ377" s="79"/>
      <c r="BA377" s="76"/>
      <c r="BB377" s="76"/>
      <c r="BC377" s="76"/>
      <c r="BD377" s="76"/>
      <c r="BE377" s="80"/>
      <c r="BF377" s="79"/>
      <c r="BG377" s="76"/>
      <c r="BH377" s="76"/>
      <c r="BI377" s="76"/>
      <c r="BJ377" s="76"/>
      <c r="BK377" s="80"/>
      <c r="BM377" s="125">
        <f t="shared" si="1044"/>
        <v>0</v>
      </c>
      <c r="BN377" s="126">
        <f t="shared" si="1045"/>
        <v>0</v>
      </c>
      <c r="BO377" s="126">
        <f t="shared" si="1046"/>
        <v>0</v>
      </c>
      <c r="BP377" s="126">
        <f t="shared" si="1047"/>
        <v>0</v>
      </c>
      <c r="BQ377" s="126">
        <f>SUM(AT377:AY377)</f>
        <v>3</v>
      </c>
      <c r="BR377" s="126">
        <f t="shared" si="1048"/>
        <v>0</v>
      </c>
      <c r="BS377" s="127">
        <f t="shared" si="1049"/>
        <v>0</v>
      </c>
      <c r="BT377" s="74"/>
      <c r="BU377" s="125">
        <f t="shared" si="1050"/>
        <v>0</v>
      </c>
      <c r="BV377" s="126">
        <f t="shared" si="1051"/>
        <v>0</v>
      </c>
      <c r="BW377" s="126">
        <f t="shared" si="1052"/>
        <v>0</v>
      </c>
      <c r="BX377" s="126">
        <f t="shared" si="1053"/>
        <v>0</v>
      </c>
      <c r="BY377" s="126">
        <f t="shared" si="1054"/>
        <v>3</v>
      </c>
      <c r="BZ377" s="126">
        <f t="shared" si="1054"/>
        <v>0</v>
      </c>
      <c r="CA377" s="126">
        <f t="shared" si="1054"/>
        <v>0</v>
      </c>
    </row>
    <row r="378" spans="1:79">
      <c r="A378" s="147" t="str">
        <f t="shared" si="933"/>
        <v>D</v>
      </c>
      <c r="B378" s="148">
        <f t="shared" si="934"/>
        <v>90000</v>
      </c>
      <c r="C378" s="149" t="s">
        <v>293</v>
      </c>
      <c r="D378" s="150" t="s">
        <v>0</v>
      </c>
      <c r="E378" s="150" t="s">
        <v>0</v>
      </c>
      <c r="F378" s="145" t="s">
        <v>282</v>
      </c>
      <c r="G378" s="150" t="s">
        <v>0</v>
      </c>
      <c r="H378" s="150" t="s">
        <v>0</v>
      </c>
      <c r="I378" s="150" t="s">
        <v>0</v>
      </c>
      <c r="J378" s="151" t="s">
        <v>54</v>
      </c>
      <c r="K378" s="13">
        <v>10</v>
      </c>
      <c r="L378" s="12" t="s">
        <v>56</v>
      </c>
      <c r="M378" s="13">
        <v>1.2</v>
      </c>
      <c r="N378" s="13">
        <v>0</v>
      </c>
      <c r="O378" s="14">
        <v>1.2</v>
      </c>
      <c r="P378" s="113">
        <f t="shared" si="1039"/>
        <v>10</v>
      </c>
      <c r="Q378" s="114">
        <f t="shared" si="1040"/>
        <v>0</v>
      </c>
      <c r="R378" s="114">
        <f t="shared" si="1041"/>
        <v>1.2</v>
      </c>
      <c r="S378" s="114">
        <f t="shared" si="1042"/>
        <v>0</v>
      </c>
      <c r="T378" s="93">
        <f t="shared" si="1043"/>
        <v>1</v>
      </c>
      <c r="U378" t="s">
        <v>0</v>
      </c>
      <c r="V378" s="79"/>
      <c r="W378" s="76"/>
      <c r="X378" s="76"/>
      <c r="Y378" s="76"/>
      <c r="Z378" s="76"/>
      <c r="AA378" s="80"/>
      <c r="AB378" s="79"/>
      <c r="AC378" s="76"/>
      <c r="AD378" s="76"/>
      <c r="AE378" s="76"/>
      <c r="AF378" s="76"/>
      <c r="AG378" s="80"/>
      <c r="AH378" s="79"/>
      <c r="AI378" s="76"/>
      <c r="AJ378" s="76"/>
      <c r="AK378" s="76"/>
      <c r="AL378" s="76"/>
      <c r="AM378" s="80"/>
      <c r="AN378" s="79"/>
      <c r="AO378" s="76"/>
      <c r="AP378" s="76"/>
      <c r="AQ378" s="76"/>
      <c r="AR378" s="76"/>
      <c r="AS378" s="80"/>
      <c r="AT378" s="79"/>
      <c r="AU378" s="76"/>
      <c r="AV378" s="76"/>
      <c r="AW378" s="76">
        <v>10</v>
      </c>
      <c r="AX378" s="76"/>
      <c r="AY378" s="80"/>
      <c r="AZ378" s="79"/>
      <c r="BA378" s="76"/>
      <c r="BB378" s="76"/>
      <c r="BC378" s="76"/>
      <c r="BD378" s="76"/>
      <c r="BE378" s="80"/>
      <c r="BF378" s="79"/>
      <c r="BG378" s="76"/>
      <c r="BH378" s="76"/>
      <c r="BI378" s="76"/>
      <c r="BJ378" s="76"/>
      <c r="BK378" s="80"/>
      <c r="BM378" s="125">
        <f t="shared" si="1044"/>
        <v>0</v>
      </c>
      <c r="BN378" s="126">
        <f t="shared" si="1045"/>
        <v>0</v>
      </c>
      <c r="BO378" s="126">
        <f t="shared" si="1046"/>
        <v>0</v>
      </c>
      <c r="BP378" s="126">
        <f t="shared" si="1047"/>
        <v>0</v>
      </c>
      <c r="BQ378" s="126">
        <f>SUM(AT378:AY378)</f>
        <v>10</v>
      </c>
      <c r="BR378" s="126">
        <f t="shared" si="1048"/>
        <v>0</v>
      </c>
      <c r="BS378" s="127">
        <f t="shared" si="1049"/>
        <v>0</v>
      </c>
      <c r="BT378" s="74"/>
      <c r="BU378" s="125">
        <f t="shared" si="1050"/>
        <v>0</v>
      </c>
      <c r="BV378" s="126">
        <f t="shared" si="1051"/>
        <v>0</v>
      </c>
      <c r="BW378" s="126">
        <f t="shared" si="1052"/>
        <v>0</v>
      </c>
      <c r="BX378" s="126">
        <f t="shared" si="1053"/>
        <v>0</v>
      </c>
      <c r="BY378" s="126">
        <f t="shared" si="1054"/>
        <v>1.2</v>
      </c>
      <c r="BZ378" s="126">
        <f t="shared" si="1054"/>
        <v>0</v>
      </c>
      <c r="CA378" s="126">
        <f t="shared" si="1054"/>
        <v>0</v>
      </c>
    </row>
    <row r="379" spans="1:79">
      <c r="A379" s="147" t="str">
        <f t="shared" si="933"/>
        <v>D</v>
      </c>
      <c r="B379" s="148">
        <f t="shared" si="934"/>
        <v>90000</v>
      </c>
      <c r="C379" s="149" t="s">
        <v>293</v>
      </c>
      <c r="D379" s="150" t="s">
        <v>0</v>
      </c>
      <c r="E379" s="150" t="s">
        <v>0</v>
      </c>
      <c r="F379" s="145" t="s">
        <v>296</v>
      </c>
      <c r="G379" s="150" t="s">
        <v>0</v>
      </c>
      <c r="H379" s="150" t="s">
        <v>0</v>
      </c>
      <c r="I379" s="150" t="s">
        <v>0</v>
      </c>
      <c r="J379" s="151" t="s">
        <v>54</v>
      </c>
      <c r="K379" s="13">
        <v>3</v>
      </c>
      <c r="L379" s="12" t="s">
        <v>32</v>
      </c>
      <c r="M379" s="13">
        <v>3</v>
      </c>
      <c r="N379" s="13">
        <v>0</v>
      </c>
      <c r="O379" s="14">
        <v>3</v>
      </c>
      <c r="P379" s="113">
        <f t="shared" si="1039"/>
        <v>3</v>
      </c>
      <c r="Q379" s="114">
        <f t="shared" si="1040"/>
        <v>0</v>
      </c>
      <c r="R379" s="114">
        <f t="shared" si="1041"/>
        <v>3</v>
      </c>
      <c r="S379" s="114">
        <f t="shared" si="1042"/>
        <v>0</v>
      </c>
      <c r="T379" s="93">
        <f t="shared" si="1043"/>
        <v>1</v>
      </c>
      <c r="U379" t="s">
        <v>0</v>
      </c>
      <c r="V379" s="79"/>
      <c r="W379" s="76"/>
      <c r="X379" s="76"/>
      <c r="Y379" s="76"/>
      <c r="Z379" s="76"/>
      <c r="AA379" s="80"/>
      <c r="AB379" s="79"/>
      <c r="AC379" s="76"/>
      <c r="AD379" s="76"/>
      <c r="AE379" s="76"/>
      <c r="AF379" s="76"/>
      <c r="AG379" s="80"/>
      <c r="AH379" s="79"/>
      <c r="AI379" s="76"/>
      <c r="AJ379" s="76"/>
      <c r="AK379" s="76"/>
      <c r="AL379" s="76"/>
      <c r="AM379" s="80"/>
      <c r="AN379" s="79"/>
      <c r="AO379" s="76"/>
      <c r="AP379" s="76"/>
      <c r="AQ379" s="76"/>
      <c r="AR379" s="76"/>
      <c r="AS379" s="80"/>
      <c r="AT379" s="79"/>
      <c r="AU379" s="76"/>
      <c r="AV379" s="76"/>
      <c r="AW379" s="76">
        <v>3</v>
      </c>
      <c r="AX379" s="76"/>
      <c r="AY379" s="80"/>
      <c r="AZ379" s="79"/>
      <c r="BA379" s="76"/>
      <c r="BB379" s="76"/>
      <c r="BC379" s="76"/>
      <c r="BD379" s="76"/>
      <c r="BE379" s="80"/>
      <c r="BF379" s="79"/>
      <c r="BG379" s="76"/>
      <c r="BH379" s="76"/>
      <c r="BI379" s="76"/>
      <c r="BJ379" s="76"/>
      <c r="BK379" s="80"/>
      <c r="BM379" s="125">
        <f t="shared" si="1044"/>
        <v>0</v>
      </c>
      <c r="BN379" s="126">
        <f t="shared" si="1045"/>
        <v>0</v>
      </c>
      <c r="BO379" s="126">
        <f t="shared" si="1046"/>
        <v>0</v>
      </c>
      <c r="BP379" s="126">
        <f t="shared" si="1047"/>
        <v>0</v>
      </c>
      <c r="BQ379" s="126">
        <f>SUM(AT379:AY379)</f>
        <v>3</v>
      </c>
      <c r="BR379" s="126">
        <f t="shared" si="1048"/>
        <v>0</v>
      </c>
      <c r="BS379" s="127">
        <f t="shared" si="1049"/>
        <v>0</v>
      </c>
      <c r="BT379" s="74"/>
      <c r="BU379" s="125">
        <f t="shared" si="1050"/>
        <v>0</v>
      </c>
      <c r="BV379" s="126">
        <f t="shared" si="1051"/>
        <v>0</v>
      </c>
      <c r="BW379" s="126">
        <f t="shared" si="1052"/>
        <v>0</v>
      </c>
      <c r="BX379" s="126">
        <f t="shared" si="1053"/>
        <v>0</v>
      </c>
      <c r="BY379" s="126">
        <f t="shared" si="1054"/>
        <v>3</v>
      </c>
      <c r="BZ379" s="126">
        <f t="shared" si="1054"/>
        <v>0</v>
      </c>
      <c r="CA379" s="126">
        <f t="shared" si="1054"/>
        <v>0</v>
      </c>
    </row>
    <row r="380" spans="1:79">
      <c r="A380" s="147" t="str">
        <f t="shared" si="933"/>
        <v>D</v>
      </c>
      <c r="B380" s="148">
        <f t="shared" si="934"/>
        <v>90000</v>
      </c>
      <c r="C380" s="149" t="s">
        <v>293</v>
      </c>
      <c r="D380" s="150" t="s">
        <v>0</v>
      </c>
      <c r="E380" s="150" t="s">
        <v>0</v>
      </c>
      <c r="F380" s="145" t="s">
        <v>194</v>
      </c>
      <c r="G380" s="150" t="s">
        <v>0</v>
      </c>
      <c r="H380" s="150" t="s">
        <v>0</v>
      </c>
      <c r="I380" s="150" t="s">
        <v>0</v>
      </c>
      <c r="J380" s="151" t="s">
        <v>54</v>
      </c>
      <c r="K380" s="13">
        <v>1</v>
      </c>
      <c r="L380" s="12" t="s">
        <v>32</v>
      </c>
      <c r="M380" s="13">
        <v>0.25</v>
      </c>
      <c r="N380" s="13">
        <v>0</v>
      </c>
      <c r="O380" s="14">
        <v>0.25</v>
      </c>
      <c r="P380" s="113">
        <f t="shared" si="1039"/>
        <v>1</v>
      </c>
      <c r="Q380" s="114">
        <f t="shared" si="1040"/>
        <v>0</v>
      </c>
      <c r="R380" s="114">
        <f t="shared" si="1041"/>
        <v>0.25</v>
      </c>
      <c r="S380" s="114">
        <f t="shared" si="1042"/>
        <v>0</v>
      </c>
      <c r="T380" s="93">
        <f t="shared" si="1043"/>
        <v>1</v>
      </c>
      <c r="U380" t="s">
        <v>0</v>
      </c>
      <c r="V380" s="79"/>
      <c r="W380" s="76"/>
      <c r="X380" s="76"/>
      <c r="Y380" s="76"/>
      <c r="Z380" s="76"/>
      <c r="AA380" s="80"/>
      <c r="AB380" s="79"/>
      <c r="AC380" s="76"/>
      <c r="AD380" s="76"/>
      <c r="AE380" s="76"/>
      <c r="AF380" s="76"/>
      <c r="AG380" s="80"/>
      <c r="AH380" s="79"/>
      <c r="AI380" s="76"/>
      <c r="AJ380" s="76"/>
      <c r="AK380" s="76"/>
      <c r="AL380" s="76"/>
      <c r="AM380" s="80"/>
      <c r="AN380" s="79"/>
      <c r="AO380" s="76"/>
      <c r="AP380" s="76"/>
      <c r="AQ380" s="76"/>
      <c r="AR380" s="76"/>
      <c r="AS380" s="80"/>
      <c r="AT380" s="79"/>
      <c r="AU380" s="76"/>
      <c r="AV380" s="76"/>
      <c r="AW380" s="76"/>
      <c r="AX380" s="76">
        <v>1</v>
      </c>
      <c r="AY380" s="80"/>
      <c r="AZ380" s="79"/>
      <c r="BA380" s="76"/>
      <c r="BB380" s="76"/>
      <c r="BC380" s="76"/>
      <c r="BD380" s="76"/>
      <c r="BE380" s="80"/>
      <c r="BF380" s="79"/>
      <c r="BG380" s="76"/>
      <c r="BH380" s="76"/>
      <c r="BI380" s="76"/>
      <c r="BJ380" s="76"/>
      <c r="BK380" s="80"/>
      <c r="BM380" s="125">
        <f t="shared" si="1044"/>
        <v>0</v>
      </c>
      <c r="BN380" s="126">
        <f t="shared" si="1045"/>
        <v>0</v>
      </c>
      <c r="BO380" s="126">
        <f t="shared" si="1046"/>
        <v>0</v>
      </c>
      <c r="BP380" s="126">
        <f t="shared" si="1047"/>
        <v>0</v>
      </c>
      <c r="BQ380" s="126">
        <f>SUM(AT380:AY380)</f>
        <v>1</v>
      </c>
      <c r="BR380" s="126">
        <f t="shared" si="1048"/>
        <v>0</v>
      </c>
      <c r="BS380" s="127">
        <f t="shared" si="1049"/>
        <v>0</v>
      </c>
      <c r="BT380" s="74"/>
      <c r="BU380" s="125">
        <f t="shared" si="1050"/>
        <v>0</v>
      </c>
      <c r="BV380" s="126">
        <f t="shared" si="1051"/>
        <v>0</v>
      </c>
      <c r="BW380" s="126">
        <f t="shared" si="1052"/>
        <v>0</v>
      </c>
      <c r="BX380" s="126">
        <f t="shared" si="1053"/>
        <v>0</v>
      </c>
      <c r="BY380" s="126">
        <f t="shared" si="1054"/>
        <v>0.25</v>
      </c>
      <c r="BZ380" s="126">
        <f t="shared" si="1054"/>
        <v>0</v>
      </c>
      <c r="CA380" s="126">
        <f t="shared" si="1054"/>
        <v>0</v>
      </c>
    </row>
    <row r="381" spans="1:79" ht="15.75">
      <c r="A381" s="152" t="str">
        <f t="shared" si="933"/>
        <v>P</v>
      </c>
      <c r="B381" s="153">
        <f t="shared" si="934"/>
        <v>90000</v>
      </c>
      <c r="C381" s="154" t="s">
        <v>297</v>
      </c>
      <c r="D381" s="155" t="s">
        <v>0</v>
      </c>
      <c r="E381" s="155" t="s">
        <v>0</v>
      </c>
      <c r="F381" s="156" t="s">
        <v>298</v>
      </c>
      <c r="G381" s="155" t="s">
        <v>0</v>
      </c>
      <c r="H381" s="155" t="s">
        <v>0</v>
      </c>
      <c r="I381" s="155" t="s">
        <v>0</v>
      </c>
      <c r="J381" s="157" t="s">
        <v>54</v>
      </c>
      <c r="K381" s="11" t="s">
        <v>0</v>
      </c>
      <c r="L381" s="8" t="s">
        <v>0</v>
      </c>
      <c r="M381" s="9">
        <v>60.2</v>
      </c>
      <c r="N381" s="9">
        <v>1.5</v>
      </c>
      <c r="O381" s="10">
        <v>61.7</v>
      </c>
      <c r="P381" s="111"/>
      <c r="Q381" s="112"/>
      <c r="R381" s="112">
        <f>SUMIFS(R382:R$415,$C382:$C$415,$C381)</f>
        <v>29.799999999999997</v>
      </c>
      <c r="S381" s="112">
        <f>SUMIFS(S382:S$415,$C382:$C$415,$C381)</f>
        <v>31.9</v>
      </c>
      <c r="T381" s="92">
        <f>R381/O381</f>
        <v>0.48298217179902747</v>
      </c>
      <c r="V381" s="77"/>
      <c r="W381" s="75"/>
      <c r="X381" s="75"/>
      <c r="Y381" s="75"/>
      <c r="Z381" s="75"/>
      <c r="AA381" s="78"/>
      <c r="AB381" s="77"/>
      <c r="AC381" s="75"/>
      <c r="AD381" s="75"/>
      <c r="AE381" s="75"/>
      <c r="AF381" s="75"/>
      <c r="AG381" s="78"/>
      <c r="AH381" s="77"/>
      <c r="AI381" s="75"/>
      <c r="AJ381" s="75"/>
      <c r="AK381" s="75"/>
      <c r="AL381" s="75"/>
      <c r="AM381" s="78"/>
      <c r="AN381" s="77"/>
      <c r="AO381" s="75"/>
      <c r="AP381" s="75"/>
      <c r="AQ381" s="75"/>
      <c r="AR381" s="75"/>
      <c r="AS381" s="78"/>
      <c r="AT381" s="77"/>
      <c r="AU381" s="75"/>
      <c r="AV381" s="75"/>
      <c r="AW381" s="75"/>
      <c r="AX381" s="75"/>
      <c r="AY381" s="78"/>
      <c r="AZ381" s="77"/>
      <c r="BA381" s="75"/>
      <c r="BB381" s="75"/>
      <c r="BC381" s="75"/>
      <c r="BD381" s="75"/>
      <c r="BE381" s="78"/>
      <c r="BF381" s="77"/>
      <c r="BG381" s="75"/>
      <c r="BH381" s="75"/>
      <c r="BI381" s="75"/>
      <c r="BJ381" s="75"/>
      <c r="BK381" s="78"/>
      <c r="BM381" s="122"/>
      <c r="BN381" s="123"/>
      <c r="BO381" s="123"/>
      <c r="BP381" s="123"/>
      <c r="BQ381" s="123"/>
      <c r="BR381" s="123"/>
      <c r="BS381" s="124"/>
      <c r="BT381" s="74"/>
      <c r="BU381" s="122"/>
      <c r="BV381" s="123"/>
      <c r="BW381" s="123"/>
      <c r="BX381" s="123"/>
      <c r="BY381" s="123"/>
      <c r="BZ381" s="123"/>
      <c r="CA381" s="123"/>
    </row>
    <row r="382" spans="1:79">
      <c r="A382" s="147" t="str">
        <f t="shared" si="933"/>
        <v>D</v>
      </c>
      <c r="B382" s="148">
        <f t="shared" si="934"/>
        <v>90000</v>
      </c>
      <c r="C382" s="149" t="s">
        <v>297</v>
      </c>
      <c r="D382" s="150" t="s">
        <v>0</v>
      </c>
      <c r="E382" s="150" t="s">
        <v>0</v>
      </c>
      <c r="F382" s="145" t="s">
        <v>290</v>
      </c>
      <c r="G382" s="150" t="s">
        <v>0</v>
      </c>
      <c r="H382" s="150" t="s">
        <v>0</v>
      </c>
      <c r="I382" s="150" t="s">
        <v>0</v>
      </c>
      <c r="J382" s="151" t="s">
        <v>54</v>
      </c>
      <c r="K382" s="13">
        <v>15</v>
      </c>
      <c r="L382" s="12" t="s">
        <v>56</v>
      </c>
      <c r="M382" s="13">
        <v>3.6</v>
      </c>
      <c r="N382" s="13">
        <v>0</v>
      </c>
      <c r="O382" s="14">
        <v>3.6</v>
      </c>
      <c r="P382" s="113">
        <f t="shared" ref="P382:P389" si="1055">SUM(BM382:BS382)</f>
        <v>5</v>
      </c>
      <c r="Q382" s="114">
        <f t="shared" ref="Q382:Q389" si="1056">K382-P382</f>
        <v>10</v>
      </c>
      <c r="R382" s="114">
        <f t="shared" ref="R382:R389" si="1057">SUM(BU382:CA382)</f>
        <v>1.2</v>
      </c>
      <c r="S382" s="114">
        <f t="shared" ref="S382:S389" si="1058">O382-R382</f>
        <v>2.4000000000000004</v>
      </c>
      <c r="T382" s="93">
        <f t="shared" ref="T382:T389" si="1059">R382/O382</f>
        <v>0.33333333333333331</v>
      </c>
      <c r="U382" t="s">
        <v>0</v>
      </c>
      <c r="V382" s="79"/>
      <c r="W382" s="76"/>
      <c r="X382" s="76"/>
      <c r="Y382" s="76"/>
      <c r="Z382" s="76"/>
      <c r="AA382" s="80"/>
      <c r="AB382" s="79"/>
      <c r="AC382" s="76"/>
      <c r="AD382" s="76"/>
      <c r="AE382" s="76"/>
      <c r="AF382" s="76"/>
      <c r="AG382" s="80"/>
      <c r="AH382" s="79"/>
      <c r="AI382" s="76"/>
      <c r="AJ382" s="76"/>
      <c r="AK382" s="76"/>
      <c r="AL382" s="76"/>
      <c r="AM382" s="80"/>
      <c r="AN382" s="79"/>
      <c r="AO382" s="76"/>
      <c r="AP382" s="76"/>
      <c r="AQ382" s="76"/>
      <c r="AR382" s="76"/>
      <c r="AS382" s="80"/>
      <c r="AT382" s="79"/>
      <c r="AU382" s="76"/>
      <c r="AV382" s="76"/>
      <c r="AW382" s="76"/>
      <c r="AX382" s="76"/>
      <c r="AY382" s="80">
        <v>5</v>
      </c>
      <c r="AZ382" s="79"/>
      <c r="BA382" s="76"/>
      <c r="BB382" s="76"/>
      <c r="BC382" s="76"/>
      <c r="BD382" s="76"/>
      <c r="BE382" s="80"/>
      <c r="BF382" s="79"/>
      <c r="BG382" s="76"/>
      <c r="BH382" s="76"/>
      <c r="BI382" s="76"/>
      <c r="BJ382" s="76"/>
      <c r="BK382" s="80"/>
      <c r="BM382" s="125">
        <f t="shared" ref="BM382:BM389" si="1060">SUM(V382:AA382)</f>
        <v>0</v>
      </c>
      <c r="BN382" s="126">
        <f t="shared" ref="BN382:BN389" si="1061">SUM(AB382:AG382)</f>
        <v>0</v>
      </c>
      <c r="BO382" s="126">
        <f t="shared" ref="BO382:BO389" si="1062">SUM(AH382:AM382)</f>
        <v>0</v>
      </c>
      <c r="BP382" s="126">
        <f t="shared" ref="BP382:BP389" si="1063">SUM(AN382:AS382)</f>
        <v>0</v>
      </c>
      <c r="BQ382" s="126">
        <f>SUM(AT382:AY382)</f>
        <v>5</v>
      </c>
      <c r="BR382" s="126">
        <f t="shared" ref="BR382:BS389" si="1064">SUM(AZ382:BE382)</f>
        <v>0</v>
      </c>
      <c r="BS382" s="127">
        <f t="shared" ref="BS382:BS389" si="1065">SUM(BF382:BK382)</f>
        <v>0</v>
      </c>
      <c r="BT382" s="74"/>
      <c r="BU382" s="125">
        <f t="shared" ref="BU382:BU389" si="1066">(BM382/$K382)*$O382</f>
        <v>0</v>
      </c>
      <c r="BV382" s="126">
        <f t="shared" ref="BV382:BV389" si="1067">(BN382/$K382)*$O382</f>
        <v>0</v>
      </c>
      <c r="BW382" s="126">
        <f t="shared" ref="BW382:BW389" si="1068">(BO382/$K382)*$O382</f>
        <v>0</v>
      </c>
      <c r="BX382" s="126">
        <f t="shared" ref="BX382:BX389" si="1069">(BP382/$K382)*$O382</f>
        <v>0</v>
      </c>
      <c r="BY382" s="126">
        <f t="shared" ref="BY382:CA389" si="1070">(BQ382/$K382)*$O382</f>
        <v>1.2</v>
      </c>
      <c r="BZ382" s="126">
        <f t="shared" si="1070"/>
        <v>0</v>
      </c>
      <c r="CA382" s="126">
        <f t="shared" si="1070"/>
        <v>0</v>
      </c>
    </row>
    <row r="383" spans="1:79">
      <c r="A383" s="147" t="str">
        <f t="shared" si="933"/>
        <v>D</v>
      </c>
      <c r="B383" s="148">
        <f t="shared" si="934"/>
        <v>90000</v>
      </c>
      <c r="C383" s="149" t="s">
        <v>297</v>
      </c>
      <c r="D383" s="150" t="s">
        <v>0</v>
      </c>
      <c r="E383" s="150" t="s">
        <v>0</v>
      </c>
      <c r="F383" s="145" t="s">
        <v>299</v>
      </c>
      <c r="G383" s="150" t="s">
        <v>0</v>
      </c>
      <c r="H383" s="150" t="s">
        <v>0</v>
      </c>
      <c r="I383" s="150" t="s">
        <v>0</v>
      </c>
      <c r="J383" s="151" t="s">
        <v>54</v>
      </c>
      <c r="K383" s="13">
        <v>40</v>
      </c>
      <c r="L383" s="12" t="s">
        <v>56</v>
      </c>
      <c r="M383" s="13">
        <v>12</v>
      </c>
      <c r="N383" s="13">
        <v>0</v>
      </c>
      <c r="O383" s="14">
        <v>12</v>
      </c>
      <c r="P383" s="113">
        <f t="shared" si="1055"/>
        <v>10</v>
      </c>
      <c r="Q383" s="114">
        <f t="shared" si="1056"/>
        <v>30</v>
      </c>
      <c r="R383" s="114">
        <f t="shared" si="1057"/>
        <v>3</v>
      </c>
      <c r="S383" s="114">
        <f t="shared" si="1058"/>
        <v>9</v>
      </c>
      <c r="T383" s="93">
        <f t="shared" si="1059"/>
        <v>0.25</v>
      </c>
      <c r="U383" t="s">
        <v>0</v>
      </c>
      <c r="V383" s="79"/>
      <c r="W383" s="76"/>
      <c r="X383" s="76"/>
      <c r="Y383" s="76"/>
      <c r="Z383" s="76"/>
      <c r="AA383" s="80"/>
      <c r="AB383" s="79"/>
      <c r="AC383" s="76"/>
      <c r="AD383" s="76"/>
      <c r="AE383" s="76"/>
      <c r="AF383" s="76"/>
      <c r="AG383" s="80"/>
      <c r="AH383" s="79"/>
      <c r="AI383" s="76"/>
      <c r="AJ383" s="76"/>
      <c r="AK383" s="76"/>
      <c r="AL383" s="76"/>
      <c r="AM383" s="80"/>
      <c r="AN383" s="79"/>
      <c r="AO383" s="76"/>
      <c r="AP383" s="76"/>
      <c r="AQ383" s="76"/>
      <c r="AR383" s="76"/>
      <c r="AS383" s="80"/>
      <c r="AT383" s="79"/>
      <c r="AU383" s="76"/>
      <c r="AV383" s="76"/>
      <c r="AW383" s="76"/>
      <c r="AX383" s="76"/>
      <c r="AY383" s="80">
        <v>10</v>
      </c>
      <c r="AZ383" s="79"/>
      <c r="BA383" s="76"/>
      <c r="BB383" s="76"/>
      <c r="BC383" s="76"/>
      <c r="BD383" s="76"/>
      <c r="BE383" s="80"/>
      <c r="BF383" s="79"/>
      <c r="BG383" s="76"/>
      <c r="BH383" s="76"/>
      <c r="BI383" s="76"/>
      <c r="BJ383" s="76"/>
      <c r="BK383" s="80"/>
      <c r="BM383" s="125">
        <f t="shared" si="1060"/>
        <v>0</v>
      </c>
      <c r="BN383" s="126">
        <f t="shared" si="1061"/>
        <v>0</v>
      </c>
      <c r="BO383" s="126">
        <f t="shared" si="1062"/>
        <v>0</v>
      </c>
      <c r="BP383" s="126">
        <f t="shared" si="1063"/>
        <v>0</v>
      </c>
      <c r="BQ383" s="126">
        <f>SUM(AT383:AY383)</f>
        <v>10</v>
      </c>
      <c r="BR383" s="126">
        <f t="shared" si="1064"/>
        <v>0</v>
      </c>
      <c r="BS383" s="127">
        <f t="shared" si="1065"/>
        <v>0</v>
      </c>
      <c r="BT383" s="74"/>
      <c r="BU383" s="125">
        <f t="shared" si="1066"/>
        <v>0</v>
      </c>
      <c r="BV383" s="126">
        <f t="shared" si="1067"/>
        <v>0</v>
      </c>
      <c r="BW383" s="126">
        <f t="shared" si="1068"/>
        <v>0</v>
      </c>
      <c r="BX383" s="126">
        <f t="shared" si="1069"/>
        <v>0</v>
      </c>
      <c r="BY383" s="126">
        <f t="shared" si="1070"/>
        <v>3</v>
      </c>
      <c r="BZ383" s="126">
        <f t="shared" si="1070"/>
        <v>0</v>
      </c>
      <c r="CA383" s="126">
        <f t="shared" si="1070"/>
        <v>0</v>
      </c>
    </row>
    <row r="384" spans="1:79">
      <c r="A384" s="147" t="str">
        <f t="shared" si="933"/>
        <v>D</v>
      </c>
      <c r="B384" s="148">
        <f t="shared" si="934"/>
        <v>90000</v>
      </c>
      <c r="C384" s="149" t="s">
        <v>297</v>
      </c>
      <c r="D384" s="150" t="s">
        <v>0</v>
      </c>
      <c r="E384" s="150" t="s">
        <v>0</v>
      </c>
      <c r="F384" s="145" t="s">
        <v>300</v>
      </c>
      <c r="G384" s="150" t="s">
        <v>0</v>
      </c>
      <c r="H384" s="150" t="s">
        <v>0</v>
      </c>
      <c r="I384" s="150" t="s">
        <v>0</v>
      </c>
      <c r="J384" s="151" t="s">
        <v>54</v>
      </c>
      <c r="K384" s="13">
        <v>20</v>
      </c>
      <c r="L384" s="12" t="s">
        <v>56</v>
      </c>
      <c r="M384" s="13">
        <v>7</v>
      </c>
      <c r="N384" s="13">
        <v>0</v>
      </c>
      <c r="O384" s="14">
        <v>7</v>
      </c>
      <c r="P384" s="113">
        <f t="shared" si="1055"/>
        <v>10</v>
      </c>
      <c r="Q384" s="114">
        <f t="shared" si="1056"/>
        <v>10</v>
      </c>
      <c r="R384" s="114">
        <f t="shared" si="1057"/>
        <v>3.5</v>
      </c>
      <c r="S384" s="114">
        <f t="shared" si="1058"/>
        <v>3.5</v>
      </c>
      <c r="T384" s="93">
        <f t="shared" si="1059"/>
        <v>0.5</v>
      </c>
      <c r="U384" t="s">
        <v>0</v>
      </c>
      <c r="V384" s="79"/>
      <c r="W384" s="76"/>
      <c r="X384" s="76"/>
      <c r="Y384" s="76"/>
      <c r="Z384" s="76"/>
      <c r="AA384" s="80"/>
      <c r="AB384" s="79"/>
      <c r="AC384" s="76"/>
      <c r="AD384" s="76"/>
      <c r="AE384" s="76"/>
      <c r="AF384" s="76"/>
      <c r="AG384" s="80"/>
      <c r="AH384" s="79"/>
      <c r="AI384" s="76"/>
      <c r="AJ384" s="76"/>
      <c r="AK384" s="76"/>
      <c r="AL384" s="76"/>
      <c r="AM384" s="80"/>
      <c r="AN384" s="79"/>
      <c r="AO384" s="76"/>
      <c r="AP384" s="76"/>
      <c r="AQ384" s="76"/>
      <c r="AR384" s="76"/>
      <c r="AS384" s="80"/>
      <c r="AT384" s="79"/>
      <c r="AU384" s="76"/>
      <c r="AV384" s="76"/>
      <c r="AW384" s="76"/>
      <c r="AX384" s="76"/>
      <c r="AY384" s="80">
        <v>10</v>
      </c>
      <c r="AZ384" s="79"/>
      <c r="BA384" s="76"/>
      <c r="BB384" s="76"/>
      <c r="BC384" s="76"/>
      <c r="BD384" s="76"/>
      <c r="BE384" s="80"/>
      <c r="BF384" s="79"/>
      <c r="BG384" s="76"/>
      <c r="BH384" s="76"/>
      <c r="BI384" s="76"/>
      <c r="BJ384" s="76"/>
      <c r="BK384" s="80"/>
      <c r="BM384" s="125">
        <f t="shared" si="1060"/>
        <v>0</v>
      </c>
      <c r="BN384" s="126">
        <f t="shared" si="1061"/>
        <v>0</v>
      </c>
      <c r="BO384" s="126">
        <f t="shared" si="1062"/>
        <v>0</v>
      </c>
      <c r="BP384" s="126">
        <f t="shared" si="1063"/>
        <v>0</v>
      </c>
      <c r="BQ384" s="126">
        <f>SUM(AT384:AY384)</f>
        <v>10</v>
      </c>
      <c r="BR384" s="126">
        <f t="shared" si="1064"/>
        <v>0</v>
      </c>
      <c r="BS384" s="127">
        <f t="shared" si="1065"/>
        <v>0</v>
      </c>
      <c r="BU384" s="125">
        <f t="shared" si="1066"/>
        <v>0</v>
      </c>
      <c r="BV384" s="126">
        <f t="shared" si="1067"/>
        <v>0</v>
      </c>
      <c r="BW384" s="126">
        <f t="shared" si="1068"/>
        <v>0</v>
      </c>
      <c r="BX384" s="126">
        <f t="shared" si="1069"/>
        <v>0</v>
      </c>
      <c r="BY384" s="126">
        <f t="shared" si="1070"/>
        <v>3.5</v>
      </c>
      <c r="BZ384" s="126">
        <f t="shared" si="1070"/>
        <v>0</v>
      </c>
      <c r="CA384" s="126">
        <f t="shared" si="1070"/>
        <v>0</v>
      </c>
    </row>
    <row r="385" spans="1:79">
      <c r="A385" s="147" t="str">
        <f t="shared" si="933"/>
        <v>D</v>
      </c>
      <c r="B385" s="148">
        <f t="shared" si="934"/>
        <v>90000</v>
      </c>
      <c r="C385" s="149" t="s">
        <v>297</v>
      </c>
      <c r="D385" s="150" t="s">
        <v>0</v>
      </c>
      <c r="E385" s="150" t="s">
        <v>0</v>
      </c>
      <c r="F385" s="145" t="s">
        <v>301</v>
      </c>
      <c r="G385" s="150" t="s">
        <v>0</v>
      </c>
      <c r="H385" s="150" t="s">
        <v>0</v>
      </c>
      <c r="I385" s="150" t="s">
        <v>0</v>
      </c>
      <c r="J385" s="151" t="s">
        <v>54</v>
      </c>
      <c r="K385" s="13">
        <v>2</v>
      </c>
      <c r="L385" s="12" t="s">
        <v>32</v>
      </c>
      <c r="M385" s="13">
        <v>16</v>
      </c>
      <c r="N385" s="13">
        <v>0</v>
      </c>
      <c r="O385" s="14">
        <v>16</v>
      </c>
      <c r="P385" s="113">
        <f t="shared" si="1055"/>
        <v>1</v>
      </c>
      <c r="Q385" s="114">
        <f t="shared" si="1056"/>
        <v>1</v>
      </c>
      <c r="R385" s="114">
        <f t="shared" si="1057"/>
        <v>8</v>
      </c>
      <c r="S385" s="114">
        <f t="shared" si="1058"/>
        <v>8</v>
      </c>
      <c r="T385" s="93">
        <f t="shared" si="1059"/>
        <v>0.5</v>
      </c>
      <c r="U385" t="s">
        <v>0</v>
      </c>
      <c r="V385" s="79"/>
      <c r="W385" s="76"/>
      <c r="X385" s="76"/>
      <c r="Y385" s="76"/>
      <c r="Z385" s="76"/>
      <c r="AA385" s="80"/>
      <c r="AB385" s="79"/>
      <c r="AC385" s="76"/>
      <c r="AD385" s="76"/>
      <c r="AE385" s="76"/>
      <c r="AF385" s="76"/>
      <c r="AG385" s="80"/>
      <c r="AH385" s="79"/>
      <c r="AI385" s="76"/>
      <c r="AJ385" s="76"/>
      <c r="AK385" s="76"/>
      <c r="AL385" s="76"/>
      <c r="AM385" s="80"/>
      <c r="AN385" s="79"/>
      <c r="AO385" s="76"/>
      <c r="AP385" s="76"/>
      <c r="AQ385" s="76"/>
      <c r="AR385" s="76"/>
      <c r="AS385" s="80"/>
      <c r="AT385" s="79"/>
      <c r="AU385" s="76"/>
      <c r="AV385" s="76"/>
      <c r="AW385" s="76"/>
      <c r="AX385" s="76"/>
      <c r="AY385" s="80">
        <v>1</v>
      </c>
      <c r="AZ385" s="79"/>
      <c r="BA385" s="76"/>
      <c r="BB385" s="76"/>
      <c r="BC385" s="76"/>
      <c r="BD385" s="76"/>
      <c r="BE385" s="80"/>
      <c r="BF385" s="79"/>
      <c r="BG385" s="76"/>
      <c r="BH385" s="76"/>
      <c r="BI385" s="76"/>
      <c r="BJ385" s="76"/>
      <c r="BK385" s="80"/>
      <c r="BM385" s="125">
        <f t="shared" si="1060"/>
        <v>0</v>
      </c>
      <c r="BN385" s="126">
        <f t="shared" si="1061"/>
        <v>0</v>
      </c>
      <c r="BO385" s="126">
        <f t="shared" si="1062"/>
        <v>0</v>
      </c>
      <c r="BP385" s="126">
        <f t="shared" si="1063"/>
        <v>0</v>
      </c>
      <c r="BQ385" s="126">
        <f>SUM(AT385:AY385)</f>
        <v>1</v>
      </c>
      <c r="BR385" s="126">
        <f t="shared" si="1064"/>
        <v>0</v>
      </c>
      <c r="BS385" s="127">
        <f t="shared" si="1065"/>
        <v>0</v>
      </c>
      <c r="BU385" s="125">
        <f t="shared" si="1066"/>
        <v>0</v>
      </c>
      <c r="BV385" s="126">
        <f t="shared" si="1067"/>
        <v>0</v>
      </c>
      <c r="BW385" s="126">
        <f t="shared" si="1068"/>
        <v>0</v>
      </c>
      <c r="BX385" s="126">
        <f t="shared" si="1069"/>
        <v>0</v>
      </c>
      <c r="BY385" s="126">
        <f t="shared" si="1070"/>
        <v>8</v>
      </c>
      <c r="BZ385" s="126">
        <f t="shared" si="1070"/>
        <v>0</v>
      </c>
      <c r="CA385" s="126">
        <f t="shared" si="1070"/>
        <v>0</v>
      </c>
    </row>
    <row r="386" spans="1:79">
      <c r="A386" s="147" t="str">
        <f t="shared" si="933"/>
        <v>D</v>
      </c>
      <c r="B386" s="148">
        <f t="shared" si="934"/>
        <v>90000</v>
      </c>
      <c r="C386" s="149" t="s">
        <v>297</v>
      </c>
      <c r="D386" s="150" t="s">
        <v>0</v>
      </c>
      <c r="E386" s="150" t="s">
        <v>0</v>
      </c>
      <c r="F386" s="145" t="s">
        <v>302</v>
      </c>
      <c r="G386" s="150" t="s">
        <v>0</v>
      </c>
      <c r="H386" s="150" t="s">
        <v>0</v>
      </c>
      <c r="I386" s="150" t="s">
        <v>0</v>
      </c>
      <c r="J386" s="151" t="s">
        <v>54</v>
      </c>
      <c r="K386" s="13">
        <v>1</v>
      </c>
      <c r="L386" s="12" t="s">
        <v>32</v>
      </c>
      <c r="M386" s="13">
        <v>7</v>
      </c>
      <c r="N386" s="13">
        <v>0</v>
      </c>
      <c r="O386" s="14">
        <v>7</v>
      </c>
      <c r="P386" s="113">
        <f t="shared" si="1055"/>
        <v>0.5</v>
      </c>
      <c r="Q386" s="114">
        <f t="shared" si="1056"/>
        <v>0.5</v>
      </c>
      <c r="R386" s="114">
        <f t="shared" si="1057"/>
        <v>3.5</v>
      </c>
      <c r="S386" s="114">
        <f t="shared" si="1058"/>
        <v>3.5</v>
      </c>
      <c r="T386" s="93">
        <f t="shared" si="1059"/>
        <v>0.5</v>
      </c>
      <c r="U386" t="s">
        <v>0</v>
      </c>
      <c r="V386" s="79"/>
      <c r="W386" s="76"/>
      <c r="X386" s="76"/>
      <c r="Y386" s="76"/>
      <c r="Z386" s="76"/>
      <c r="AA386" s="80"/>
      <c r="AB386" s="79"/>
      <c r="AC386" s="76"/>
      <c r="AD386" s="76"/>
      <c r="AE386" s="76"/>
      <c r="AF386" s="76"/>
      <c r="AG386" s="80"/>
      <c r="AH386" s="79"/>
      <c r="AI386" s="76"/>
      <c r="AJ386" s="76"/>
      <c r="AK386" s="76"/>
      <c r="AL386" s="76"/>
      <c r="AM386" s="80"/>
      <c r="AN386" s="79"/>
      <c r="AO386" s="76"/>
      <c r="AP386" s="76"/>
      <c r="AQ386" s="76"/>
      <c r="AR386" s="76"/>
      <c r="AS386" s="80"/>
      <c r="AT386" s="79"/>
      <c r="AU386" s="76"/>
      <c r="AV386" s="76"/>
      <c r="AW386" s="76"/>
      <c r="AX386" s="76"/>
      <c r="AY386" s="80">
        <v>0.5</v>
      </c>
      <c r="AZ386" s="79"/>
      <c r="BA386" s="76"/>
      <c r="BB386" s="76"/>
      <c r="BC386" s="76"/>
      <c r="BD386" s="76"/>
      <c r="BE386" s="80"/>
      <c r="BF386" s="79"/>
      <c r="BG386" s="76"/>
      <c r="BH386" s="76"/>
      <c r="BI386" s="76"/>
      <c r="BJ386" s="76"/>
      <c r="BK386" s="80"/>
      <c r="BM386" s="125">
        <f t="shared" si="1060"/>
        <v>0</v>
      </c>
      <c r="BN386" s="126">
        <f t="shared" si="1061"/>
        <v>0</v>
      </c>
      <c r="BO386" s="126">
        <f t="shared" si="1062"/>
        <v>0</v>
      </c>
      <c r="BP386" s="126">
        <f t="shared" si="1063"/>
        <v>0</v>
      </c>
      <c r="BQ386" s="126">
        <f>SUM(AT386:AY386)</f>
        <v>0.5</v>
      </c>
      <c r="BR386" s="126">
        <f t="shared" si="1064"/>
        <v>0</v>
      </c>
      <c r="BS386" s="127">
        <f t="shared" si="1065"/>
        <v>0</v>
      </c>
      <c r="BU386" s="125">
        <f t="shared" si="1066"/>
        <v>0</v>
      </c>
      <c r="BV386" s="126">
        <f t="shared" si="1067"/>
        <v>0</v>
      </c>
      <c r="BW386" s="126">
        <f t="shared" si="1068"/>
        <v>0</v>
      </c>
      <c r="BX386" s="126">
        <f t="shared" si="1069"/>
        <v>0</v>
      </c>
      <c r="BY386" s="126">
        <f t="shared" si="1070"/>
        <v>3.5</v>
      </c>
      <c r="BZ386" s="126">
        <f t="shared" si="1070"/>
        <v>0</v>
      </c>
      <c r="CA386" s="126">
        <f t="shared" si="1070"/>
        <v>0</v>
      </c>
    </row>
    <row r="387" spans="1:79">
      <c r="A387" s="147" t="str">
        <f t="shared" si="933"/>
        <v>D</v>
      </c>
      <c r="B387" s="148">
        <f t="shared" si="934"/>
        <v>90000</v>
      </c>
      <c r="C387" s="149" t="s">
        <v>297</v>
      </c>
      <c r="D387" s="150" t="s">
        <v>0</v>
      </c>
      <c r="E387" s="150" t="s">
        <v>0</v>
      </c>
      <c r="F387" s="145" t="s">
        <v>303</v>
      </c>
      <c r="G387" s="150" t="s">
        <v>0</v>
      </c>
      <c r="H387" s="150" t="s">
        <v>0</v>
      </c>
      <c r="I387" s="150" t="s">
        <v>0</v>
      </c>
      <c r="J387" s="151" t="s">
        <v>54</v>
      </c>
      <c r="K387" s="13">
        <v>1</v>
      </c>
      <c r="L387" s="12" t="s">
        <v>32</v>
      </c>
      <c r="M387" s="13">
        <v>1.5</v>
      </c>
      <c r="N387" s="13">
        <v>1.5</v>
      </c>
      <c r="O387" s="14">
        <v>3</v>
      </c>
      <c r="P387" s="113">
        <f t="shared" si="1055"/>
        <v>0.5</v>
      </c>
      <c r="Q387" s="114">
        <f t="shared" si="1056"/>
        <v>0.5</v>
      </c>
      <c r="R387" s="114">
        <f t="shared" si="1057"/>
        <v>1.5</v>
      </c>
      <c r="S387" s="114">
        <f t="shared" si="1058"/>
        <v>1.5</v>
      </c>
      <c r="T387" s="93">
        <f t="shared" si="1059"/>
        <v>0.5</v>
      </c>
      <c r="U387" t="s">
        <v>0</v>
      </c>
      <c r="V387" s="79"/>
      <c r="W387" s="76"/>
      <c r="X387" s="76"/>
      <c r="Y387" s="76"/>
      <c r="Z387" s="76"/>
      <c r="AA387" s="80"/>
      <c r="AB387" s="79"/>
      <c r="AC387" s="76"/>
      <c r="AD387" s="76"/>
      <c r="AE387" s="76"/>
      <c r="AF387" s="76"/>
      <c r="AG387" s="80"/>
      <c r="AH387" s="79"/>
      <c r="AI387" s="76"/>
      <c r="AJ387" s="76"/>
      <c r="AK387" s="76"/>
      <c r="AL387" s="76"/>
      <c r="AM387" s="80"/>
      <c r="AN387" s="79"/>
      <c r="AO387" s="76"/>
      <c r="AP387" s="76"/>
      <c r="AQ387" s="76"/>
      <c r="AR387" s="76"/>
      <c r="AS387" s="80"/>
      <c r="AT387" s="79"/>
      <c r="AU387" s="76"/>
      <c r="AV387" s="76"/>
      <c r="AW387" s="76"/>
      <c r="AX387" s="76"/>
      <c r="AY387" s="80">
        <v>0.5</v>
      </c>
      <c r="AZ387" s="79"/>
      <c r="BA387" s="76"/>
      <c r="BB387" s="76"/>
      <c r="BC387" s="76"/>
      <c r="BD387" s="76"/>
      <c r="BE387" s="80"/>
      <c r="BF387" s="79"/>
      <c r="BG387" s="76"/>
      <c r="BH387" s="76"/>
      <c r="BI387" s="76"/>
      <c r="BJ387" s="76"/>
      <c r="BK387" s="80"/>
      <c r="BM387" s="125">
        <f t="shared" si="1060"/>
        <v>0</v>
      </c>
      <c r="BN387" s="126">
        <f t="shared" si="1061"/>
        <v>0</v>
      </c>
      <c r="BO387" s="126">
        <f t="shared" si="1062"/>
        <v>0</v>
      </c>
      <c r="BP387" s="126">
        <f t="shared" si="1063"/>
        <v>0</v>
      </c>
      <c r="BQ387" s="126">
        <f>SUM(AT387:AY387)</f>
        <v>0.5</v>
      </c>
      <c r="BR387" s="126">
        <f t="shared" si="1064"/>
        <v>0</v>
      </c>
      <c r="BS387" s="127">
        <f t="shared" si="1065"/>
        <v>0</v>
      </c>
      <c r="BU387" s="125">
        <f t="shared" si="1066"/>
        <v>0</v>
      </c>
      <c r="BV387" s="126">
        <f t="shared" si="1067"/>
        <v>0</v>
      </c>
      <c r="BW387" s="126">
        <f t="shared" si="1068"/>
        <v>0</v>
      </c>
      <c r="BX387" s="126">
        <f t="shared" si="1069"/>
        <v>0</v>
      </c>
      <c r="BY387" s="126">
        <f t="shared" si="1070"/>
        <v>1.5</v>
      </c>
      <c r="BZ387" s="126">
        <f t="shared" si="1070"/>
        <v>0</v>
      </c>
      <c r="CA387" s="126">
        <f t="shared" si="1070"/>
        <v>0</v>
      </c>
    </row>
    <row r="388" spans="1:79">
      <c r="A388" s="147" t="str">
        <f t="shared" si="933"/>
        <v>D</v>
      </c>
      <c r="B388" s="148">
        <f t="shared" si="934"/>
        <v>90000</v>
      </c>
      <c r="C388" s="149" t="s">
        <v>297</v>
      </c>
      <c r="D388" s="150" t="s">
        <v>0</v>
      </c>
      <c r="E388" s="150" t="s">
        <v>0</v>
      </c>
      <c r="F388" s="145" t="s">
        <v>304</v>
      </c>
      <c r="G388" s="150" t="s">
        <v>0</v>
      </c>
      <c r="H388" s="150" t="s">
        <v>0</v>
      </c>
      <c r="I388" s="150" t="s">
        <v>0</v>
      </c>
      <c r="J388" s="151" t="s">
        <v>54</v>
      </c>
      <c r="K388" s="13">
        <v>8</v>
      </c>
      <c r="L388" s="12" t="s">
        <v>32</v>
      </c>
      <c r="M388" s="13">
        <v>8</v>
      </c>
      <c r="N388" s="13">
        <v>0</v>
      </c>
      <c r="O388" s="14">
        <v>8</v>
      </c>
      <c r="P388" s="113">
        <f t="shared" si="1055"/>
        <v>4</v>
      </c>
      <c r="Q388" s="114">
        <f t="shared" si="1056"/>
        <v>4</v>
      </c>
      <c r="R388" s="114">
        <f t="shared" si="1057"/>
        <v>4</v>
      </c>
      <c r="S388" s="114">
        <f t="shared" si="1058"/>
        <v>4</v>
      </c>
      <c r="T388" s="93">
        <f t="shared" si="1059"/>
        <v>0.5</v>
      </c>
      <c r="U388" t="s">
        <v>0</v>
      </c>
      <c r="V388" s="79"/>
      <c r="W388" s="76"/>
      <c r="X388" s="76"/>
      <c r="Y388" s="76"/>
      <c r="Z388" s="76"/>
      <c r="AA388" s="80"/>
      <c r="AB388" s="79"/>
      <c r="AC388" s="76"/>
      <c r="AD388" s="76"/>
      <c r="AE388" s="76"/>
      <c r="AF388" s="76"/>
      <c r="AG388" s="80"/>
      <c r="AH388" s="79"/>
      <c r="AI388" s="76"/>
      <c r="AJ388" s="76"/>
      <c r="AK388" s="76"/>
      <c r="AL388" s="76"/>
      <c r="AM388" s="80"/>
      <c r="AN388" s="79"/>
      <c r="AO388" s="76"/>
      <c r="AP388" s="76"/>
      <c r="AQ388" s="76"/>
      <c r="AR388" s="76"/>
      <c r="AS388" s="80"/>
      <c r="AT388" s="79"/>
      <c r="AU388" s="76"/>
      <c r="AV388" s="76"/>
      <c r="AW388" s="76"/>
      <c r="AX388" s="76"/>
      <c r="AY388" s="80">
        <v>4</v>
      </c>
      <c r="AZ388" s="79"/>
      <c r="BA388" s="76"/>
      <c r="BB388" s="76"/>
      <c r="BC388" s="76"/>
      <c r="BD388" s="76"/>
      <c r="BE388" s="80"/>
      <c r="BF388" s="79"/>
      <c r="BG388" s="76"/>
      <c r="BH388" s="76"/>
      <c r="BI388" s="76"/>
      <c r="BJ388" s="76"/>
      <c r="BK388" s="80"/>
      <c r="BM388" s="125">
        <f t="shared" si="1060"/>
        <v>0</v>
      </c>
      <c r="BN388" s="126">
        <f t="shared" si="1061"/>
        <v>0</v>
      </c>
      <c r="BO388" s="126">
        <f t="shared" si="1062"/>
        <v>0</v>
      </c>
      <c r="BP388" s="126">
        <f t="shared" si="1063"/>
        <v>0</v>
      </c>
      <c r="BQ388" s="126">
        <f>SUM(AT388:AY388)</f>
        <v>4</v>
      </c>
      <c r="BR388" s="126">
        <f t="shared" si="1064"/>
        <v>0</v>
      </c>
      <c r="BS388" s="127">
        <f t="shared" si="1065"/>
        <v>0</v>
      </c>
      <c r="BU388" s="125">
        <f t="shared" si="1066"/>
        <v>0</v>
      </c>
      <c r="BV388" s="126">
        <f t="shared" si="1067"/>
        <v>0</v>
      </c>
      <c r="BW388" s="126">
        <f t="shared" si="1068"/>
        <v>0</v>
      </c>
      <c r="BX388" s="126">
        <f t="shared" si="1069"/>
        <v>0</v>
      </c>
      <c r="BY388" s="126">
        <f t="shared" si="1070"/>
        <v>4</v>
      </c>
      <c r="BZ388" s="126">
        <f t="shared" si="1070"/>
        <v>0</v>
      </c>
      <c r="CA388" s="126">
        <f t="shared" si="1070"/>
        <v>0</v>
      </c>
    </row>
    <row r="389" spans="1:79">
      <c r="A389" s="147" t="str">
        <f t="shared" si="933"/>
        <v>D</v>
      </c>
      <c r="B389" s="148">
        <f t="shared" si="934"/>
        <v>90000</v>
      </c>
      <c r="C389" s="149" t="s">
        <v>297</v>
      </c>
      <c r="D389" s="150" t="s">
        <v>0</v>
      </c>
      <c r="E389" s="150" t="s">
        <v>0</v>
      </c>
      <c r="F389" s="145" t="s">
        <v>291</v>
      </c>
      <c r="G389" s="150" t="s">
        <v>0</v>
      </c>
      <c r="H389" s="150" t="s">
        <v>0</v>
      </c>
      <c r="I389" s="150" t="s">
        <v>0</v>
      </c>
      <c r="J389" s="151" t="s">
        <v>54</v>
      </c>
      <c r="K389" s="13">
        <v>34</v>
      </c>
      <c r="L389" s="12" t="s">
        <v>32</v>
      </c>
      <c r="M389" s="13">
        <v>5.0999999999999996</v>
      </c>
      <c r="N389" s="13">
        <v>0</v>
      </c>
      <c r="O389" s="14">
        <v>5.0999999999999996</v>
      </c>
      <c r="P389" s="113">
        <f t="shared" si="1055"/>
        <v>34</v>
      </c>
      <c r="Q389" s="114">
        <f t="shared" si="1056"/>
        <v>0</v>
      </c>
      <c r="R389" s="114">
        <f t="shared" si="1057"/>
        <v>5.0999999999999996</v>
      </c>
      <c r="S389" s="114">
        <f t="shared" si="1058"/>
        <v>0</v>
      </c>
      <c r="T389" s="93">
        <f t="shared" si="1059"/>
        <v>1</v>
      </c>
      <c r="U389" t="s">
        <v>0</v>
      </c>
      <c r="V389" s="79"/>
      <c r="W389" s="76"/>
      <c r="X389" s="76"/>
      <c r="Y389" s="76"/>
      <c r="Z389" s="76"/>
      <c r="AA389" s="80"/>
      <c r="AB389" s="79"/>
      <c r="AC389" s="76"/>
      <c r="AD389" s="76"/>
      <c r="AE389" s="76"/>
      <c r="AF389" s="76"/>
      <c r="AG389" s="80"/>
      <c r="AH389" s="79"/>
      <c r="AI389" s="76"/>
      <c r="AJ389" s="76"/>
      <c r="AK389" s="76"/>
      <c r="AL389" s="76"/>
      <c r="AM389" s="80"/>
      <c r="AN389" s="79"/>
      <c r="AO389" s="76"/>
      <c r="AP389" s="76"/>
      <c r="AQ389" s="76"/>
      <c r="AR389" s="76"/>
      <c r="AS389" s="80"/>
      <c r="AT389" s="79"/>
      <c r="AU389" s="76"/>
      <c r="AV389" s="76"/>
      <c r="AW389" s="76"/>
      <c r="AX389" s="76"/>
      <c r="AY389" s="80">
        <v>34</v>
      </c>
      <c r="AZ389" s="79"/>
      <c r="BA389" s="76"/>
      <c r="BB389" s="76"/>
      <c r="BC389" s="76"/>
      <c r="BD389" s="76"/>
      <c r="BE389" s="80"/>
      <c r="BF389" s="79"/>
      <c r="BG389" s="76"/>
      <c r="BH389" s="76"/>
      <c r="BI389" s="76"/>
      <c r="BJ389" s="76"/>
      <c r="BK389" s="80"/>
      <c r="BM389" s="125">
        <f t="shared" si="1060"/>
        <v>0</v>
      </c>
      <c r="BN389" s="126">
        <f t="shared" si="1061"/>
        <v>0</v>
      </c>
      <c r="BO389" s="126">
        <f t="shared" si="1062"/>
        <v>0</v>
      </c>
      <c r="BP389" s="126">
        <f t="shared" si="1063"/>
        <v>0</v>
      </c>
      <c r="BQ389" s="126">
        <f>SUM(AT389:AY389)</f>
        <v>34</v>
      </c>
      <c r="BR389" s="126">
        <f t="shared" si="1064"/>
        <v>0</v>
      </c>
      <c r="BS389" s="127">
        <f t="shared" si="1065"/>
        <v>0</v>
      </c>
      <c r="BU389" s="125">
        <f t="shared" si="1066"/>
        <v>0</v>
      </c>
      <c r="BV389" s="126">
        <f t="shared" si="1067"/>
        <v>0</v>
      </c>
      <c r="BW389" s="126">
        <f t="shared" si="1068"/>
        <v>0</v>
      </c>
      <c r="BX389" s="126">
        <f t="shared" si="1069"/>
        <v>0</v>
      </c>
      <c r="BY389" s="126">
        <f t="shared" si="1070"/>
        <v>5.0999999999999996</v>
      </c>
      <c r="BZ389" s="126">
        <f t="shared" si="1070"/>
        <v>0</v>
      </c>
      <c r="CA389" s="126">
        <f t="shared" si="1070"/>
        <v>0</v>
      </c>
    </row>
    <row r="390" spans="1:79" ht="15.75">
      <c r="A390" s="152" t="str">
        <f t="shared" si="933"/>
        <v>P</v>
      </c>
      <c r="B390" s="153">
        <f t="shared" si="934"/>
        <v>90000</v>
      </c>
      <c r="C390" s="154" t="s">
        <v>305</v>
      </c>
      <c r="D390" s="155" t="s">
        <v>0</v>
      </c>
      <c r="E390" s="155" t="s">
        <v>0</v>
      </c>
      <c r="F390" s="156" t="s">
        <v>306</v>
      </c>
      <c r="G390" s="155" t="s">
        <v>0</v>
      </c>
      <c r="H390" s="155" t="s">
        <v>0</v>
      </c>
      <c r="I390" s="155" t="s">
        <v>0</v>
      </c>
      <c r="J390" s="157" t="s">
        <v>54</v>
      </c>
      <c r="K390" s="11" t="s">
        <v>0</v>
      </c>
      <c r="L390" s="8" t="s">
        <v>0</v>
      </c>
      <c r="M390" s="9">
        <v>48</v>
      </c>
      <c r="N390" s="9">
        <v>0</v>
      </c>
      <c r="O390" s="10">
        <v>48</v>
      </c>
      <c r="P390" s="111"/>
      <c r="Q390" s="112"/>
      <c r="R390" s="112">
        <f>SUMIFS(R391:R$415,$C391:$C$415,$C390)</f>
        <v>48</v>
      </c>
      <c r="S390" s="112">
        <f>SUMIFS(S391:S$415,$C391:$C$415,$C390)</f>
        <v>0</v>
      </c>
      <c r="T390" s="92">
        <f>R390/O390</f>
        <v>1</v>
      </c>
      <c r="V390" s="77"/>
      <c r="W390" s="75"/>
      <c r="X390" s="75"/>
      <c r="Y390" s="75"/>
      <c r="Z390" s="75"/>
      <c r="AA390" s="78"/>
      <c r="AB390" s="77"/>
      <c r="AC390" s="75"/>
      <c r="AD390" s="75"/>
      <c r="AE390" s="75"/>
      <c r="AF390" s="75"/>
      <c r="AG390" s="78"/>
      <c r="AH390" s="77"/>
      <c r="AI390" s="75"/>
      <c r="AJ390" s="75"/>
      <c r="AK390" s="75"/>
      <c r="AL390" s="75"/>
      <c r="AM390" s="78"/>
      <c r="AN390" s="77"/>
      <c r="AO390" s="75"/>
      <c r="AP390" s="75"/>
      <c r="AQ390" s="75"/>
      <c r="AR390" s="75"/>
      <c r="AS390" s="78"/>
      <c r="AT390" s="77"/>
      <c r="AU390" s="75"/>
      <c r="AV390" s="75"/>
      <c r="AW390" s="75"/>
      <c r="AX390" s="75"/>
      <c r="AY390" s="78"/>
      <c r="AZ390" s="77"/>
      <c r="BA390" s="75"/>
      <c r="BB390" s="75"/>
      <c r="BC390" s="75"/>
      <c r="BD390" s="75"/>
      <c r="BE390" s="78"/>
      <c r="BF390" s="77"/>
      <c r="BG390" s="75"/>
      <c r="BH390" s="75"/>
      <c r="BI390" s="75"/>
      <c r="BJ390" s="75"/>
      <c r="BK390" s="78"/>
      <c r="BM390" s="122"/>
      <c r="BN390" s="123"/>
      <c r="BO390" s="123"/>
      <c r="BP390" s="123"/>
      <c r="BQ390" s="123"/>
      <c r="BR390" s="123"/>
      <c r="BS390" s="124"/>
      <c r="BU390" s="122"/>
      <c r="BV390" s="123"/>
      <c r="BW390" s="123"/>
      <c r="BX390" s="123"/>
      <c r="BY390" s="123"/>
      <c r="BZ390" s="123"/>
      <c r="CA390" s="123"/>
    </row>
    <row r="391" spans="1:79">
      <c r="A391" s="147" t="str">
        <f t="shared" si="933"/>
        <v>D</v>
      </c>
      <c r="B391" s="148">
        <f t="shared" si="934"/>
        <v>90000</v>
      </c>
      <c r="C391" s="149" t="s">
        <v>305</v>
      </c>
      <c r="D391" s="150" t="s">
        <v>0</v>
      </c>
      <c r="E391" s="150" t="s">
        <v>0</v>
      </c>
      <c r="F391" s="145" t="s">
        <v>307</v>
      </c>
      <c r="G391" s="150" t="s">
        <v>0</v>
      </c>
      <c r="H391" s="150" t="s">
        <v>0</v>
      </c>
      <c r="I391" s="150" t="s">
        <v>0</v>
      </c>
      <c r="J391" s="151" t="s">
        <v>54</v>
      </c>
      <c r="K391" s="13">
        <v>20</v>
      </c>
      <c r="L391" s="12" t="s">
        <v>56</v>
      </c>
      <c r="M391" s="13">
        <v>5.6</v>
      </c>
      <c r="N391" s="13">
        <v>0</v>
      </c>
      <c r="O391" s="14">
        <v>5.6</v>
      </c>
      <c r="P391" s="113">
        <f t="shared" ref="P391:P398" si="1071">SUM(BM391:BS391)</f>
        <v>20</v>
      </c>
      <c r="Q391" s="114">
        <f t="shared" ref="Q391:Q398" si="1072">K391-P391</f>
        <v>0</v>
      </c>
      <c r="R391" s="114">
        <f t="shared" ref="R391:R398" si="1073">SUM(BU391:CA391)</f>
        <v>5.6</v>
      </c>
      <c r="S391" s="114">
        <f t="shared" ref="S391:S398" si="1074">O391-R391</f>
        <v>0</v>
      </c>
      <c r="T391" s="93">
        <f t="shared" ref="T391:T398" si="1075">R391/O391</f>
        <v>1</v>
      </c>
      <c r="U391" t="s">
        <v>0</v>
      </c>
      <c r="V391" s="79"/>
      <c r="W391" s="76"/>
      <c r="X391" s="76"/>
      <c r="Y391" s="76"/>
      <c r="Z391" s="76"/>
      <c r="AA391" s="80"/>
      <c r="AB391" s="79"/>
      <c r="AC391" s="76"/>
      <c r="AD391" s="76"/>
      <c r="AE391" s="76"/>
      <c r="AF391" s="76"/>
      <c r="AG391" s="80"/>
      <c r="AH391" s="79"/>
      <c r="AI391" s="76"/>
      <c r="AJ391" s="76"/>
      <c r="AK391" s="76"/>
      <c r="AL391" s="76"/>
      <c r="AM391" s="80"/>
      <c r="AN391" s="79"/>
      <c r="AO391" s="76"/>
      <c r="AP391" s="76"/>
      <c r="AQ391" s="76"/>
      <c r="AR391" s="76"/>
      <c r="AS391" s="80"/>
      <c r="AT391" s="79"/>
      <c r="AU391" s="76"/>
      <c r="AV391" s="76"/>
      <c r="AW391" s="76"/>
      <c r="AX391" s="76">
        <v>20</v>
      </c>
      <c r="AY391" s="80"/>
      <c r="AZ391" s="79"/>
      <c r="BA391" s="76"/>
      <c r="BB391" s="76"/>
      <c r="BC391" s="76"/>
      <c r="BD391" s="76"/>
      <c r="BE391" s="80"/>
      <c r="BF391" s="79"/>
      <c r="BG391" s="76"/>
      <c r="BH391" s="76"/>
      <c r="BI391" s="76"/>
      <c r="BJ391" s="76"/>
      <c r="BK391" s="80"/>
      <c r="BM391" s="125">
        <f t="shared" ref="BM391:BM398" si="1076">SUM(V391:AA391)</f>
        <v>0</v>
      </c>
      <c r="BN391" s="126">
        <f t="shared" ref="BN391:BN398" si="1077">SUM(AB391:AG391)</f>
        <v>0</v>
      </c>
      <c r="BO391" s="126">
        <f t="shared" ref="BO391:BO398" si="1078">SUM(AH391:AM391)</f>
        <v>0</v>
      </c>
      <c r="BP391" s="126">
        <f t="shared" ref="BP391:BP398" si="1079">SUM(AN391:AS391)</f>
        <v>0</v>
      </c>
      <c r="BQ391" s="126">
        <f>SUM(AT391:AY391)</f>
        <v>20</v>
      </c>
      <c r="BR391" s="126">
        <f t="shared" ref="BR391:BS398" si="1080">SUM(AZ391:BE391)</f>
        <v>0</v>
      </c>
      <c r="BS391" s="127">
        <f t="shared" ref="BS391:BS398" si="1081">SUM(BF391:BK391)</f>
        <v>0</v>
      </c>
      <c r="BU391" s="125">
        <f t="shared" ref="BU391:BU398" si="1082">(BM391/$K391)*$O391</f>
        <v>0</v>
      </c>
      <c r="BV391" s="126">
        <f t="shared" ref="BV391:BV398" si="1083">(BN391/$K391)*$O391</f>
        <v>0</v>
      </c>
      <c r="BW391" s="126">
        <f t="shared" ref="BW391:BW398" si="1084">(BO391/$K391)*$O391</f>
        <v>0</v>
      </c>
      <c r="BX391" s="126">
        <f t="shared" ref="BX391:BX398" si="1085">(BP391/$K391)*$O391</f>
        <v>0</v>
      </c>
      <c r="BY391" s="126">
        <f t="shared" ref="BY391:CA398" si="1086">(BQ391/$K391)*$O391</f>
        <v>5.6</v>
      </c>
      <c r="BZ391" s="126">
        <f t="shared" si="1086"/>
        <v>0</v>
      </c>
      <c r="CA391" s="126">
        <f t="shared" si="1086"/>
        <v>0</v>
      </c>
    </row>
    <row r="392" spans="1:79">
      <c r="A392" s="147" t="str">
        <f t="shared" si="933"/>
        <v>D</v>
      </c>
      <c r="B392" s="148">
        <f t="shared" si="934"/>
        <v>90000</v>
      </c>
      <c r="C392" s="149" t="s">
        <v>305</v>
      </c>
      <c r="D392" s="150" t="s">
        <v>0</v>
      </c>
      <c r="E392" s="150" t="s">
        <v>0</v>
      </c>
      <c r="F392" s="145" t="s">
        <v>308</v>
      </c>
      <c r="G392" s="150" t="s">
        <v>0</v>
      </c>
      <c r="H392" s="150" t="s">
        <v>0</v>
      </c>
      <c r="I392" s="150" t="s">
        <v>0</v>
      </c>
      <c r="J392" s="151" t="s">
        <v>54</v>
      </c>
      <c r="K392" s="13">
        <v>60</v>
      </c>
      <c r="L392" s="12" t="s">
        <v>56</v>
      </c>
      <c r="M392" s="13">
        <v>20.399999999999999</v>
      </c>
      <c r="N392" s="13">
        <v>0</v>
      </c>
      <c r="O392" s="14">
        <v>20.399999999999999</v>
      </c>
      <c r="P392" s="113">
        <f t="shared" si="1071"/>
        <v>60</v>
      </c>
      <c r="Q392" s="114">
        <f t="shared" si="1072"/>
        <v>0</v>
      </c>
      <c r="R392" s="114">
        <f t="shared" si="1073"/>
        <v>20.399999999999999</v>
      </c>
      <c r="S392" s="114">
        <f t="shared" si="1074"/>
        <v>0</v>
      </c>
      <c r="T392" s="93">
        <f t="shared" si="1075"/>
        <v>1</v>
      </c>
      <c r="U392" t="s">
        <v>0</v>
      </c>
      <c r="V392" s="79"/>
      <c r="W392" s="76"/>
      <c r="X392" s="76"/>
      <c r="Y392" s="76"/>
      <c r="Z392" s="76"/>
      <c r="AA392" s="80"/>
      <c r="AB392" s="79"/>
      <c r="AC392" s="76"/>
      <c r="AD392" s="76"/>
      <c r="AE392" s="76"/>
      <c r="AF392" s="76"/>
      <c r="AG392" s="80"/>
      <c r="AH392" s="79"/>
      <c r="AI392" s="76"/>
      <c r="AJ392" s="76"/>
      <c r="AK392" s="76"/>
      <c r="AL392" s="76"/>
      <c r="AM392" s="80"/>
      <c r="AN392" s="79"/>
      <c r="AO392" s="76"/>
      <c r="AP392" s="76"/>
      <c r="AQ392" s="76"/>
      <c r="AR392" s="76"/>
      <c r="AS392" s="80"/>
      <c r="AT392" s="79"/>
      <c r="AU392" s="76">
        <v>40</v>
      </c>
      <c r="AV392" s="76"/>
      <c r="AW392" s="76"/>
      <c r="AX392" s="76"/>
      <c r="AY392" s="80">
        <v>20</v>
      </c>
      <c r="AZ392" s="79"/>
      <c r="BA392" s="76"/>
      <c r="BB392" s="76"/>
      <c r="BC392" s="76"/>
      <c r="BD392" s="76"/>
      <c r="BE392" s="80"/>
      <c r="BF392" s="79"/>
      <c r="BG392" s="76"/>
      <c r="BH392" s="76"/>
      <c r="BI392" s="76"/>
      <c r="BJ392" s="76"/>
      <c r="BK392" s="80"/>
      <c r="BM392" s="125">
        <f t="shared" si="1076"/>
        <v>0</v>
      </c>
      <c r="BN392" s="126">
        <f t="shared" si="1077"/>
        <v>0</v>
      </c>
      <c r="BO392" s="126">
        <f t="shared" si="1078"/>
        <v>0</v>
      </c>
      <c r="BP392" s="126">
        <f t="shared" si="1079"/>
        <v>0</v>
      </c>
      <c r="BQ392" s="126">
        <f>SUM(AT392:AY392)</f>
        <v>60</v>
      </c>
      <c r="BR392" s="126">
        <f t="shared" si="1080"/>
        <v>0</v>
      </c>
      <c r="BS392" s="127">
        <f t="shared" si="1081"/>
        <v>0</v>
      </c>
      <c r="BU392" s="125">
        <f t="shared" si="1082"/>
        <v>0</v>
      </c>
      <c r="BV392" s="126">
        <f t="shared" si="1083"/>
        <v>0</v>
      </c>
      <c r="BW392" s="126">
        <f t="shared" si="1084"/>
        <v>0</v>
      </c>
      <c r="BX392" s="126">
        <f t="shared" si="1085"/>
        <v>0</v>
      </c>
      <c r="BY392" s="126">
        <f t="shared" si="1086"/>
        <v>20.399999999999999</v>
      </c>
      <c r="BZ392" s="126">
        <f t="shared" si="1086"/>
        <v>0</v>
      </c>
      <c r="CA392" s="126">
        <f t="shared" si="1086"/>
        <v>0</v>
      </c>
    </row>
    <row r="393" spans="1:79">
      <c r="A393" s="147" t="str">
        <f t="shared" si="933"/>
        <v>D</v>
      </c>
      <c r="B393" s="148">
        <f t="shared" si="934"/>
        <v>90000</v>
      </c>
      <c r="C393" s="149" t="s">
        <v>305</v>
      </c>
      <c r="D393" s="150" t="s">
        <v>0</v>
      </c>
      <c r="E393" s="150" t="s">
        <v>0</v>
      </c>
      <c r="F393" s="145" t="s">
        <v>309</v>
      </c>
      <c r="G393" s="150" t="s">
        <v>0</v>
      </c>
      <c r="H393" s="150" t="s">
        <v>0</v>
      </c>
      <c r="I393" s="150" t="s">
        <v>0</v>
      </c>
      <c r="J393" s="151" t="s">
        <v>54</v>
      </c>
      <c r="K393" s="13">
        <v>6</v>
      </c>
      <c r="L393" s="12" t="s">
        <v>32</v>
      </c>
      <c r="M393" s="13">
        <v>6</v>
      </c>
      <c r="N393" s="13">
        <v>0</v>
      </c>
      <c r="O393" s="14">
        <v>6</v>
      </c>
      <c r="P393" s="113">
        <f t="shared" si="1071"/>
        <v>6</v>
      </c>
      <c r="Q393" s="114">
        <f t="shared" si="1072"/>
        <v>0</v>
      </c>
      <c r="R393" s="114">
        <f t="shared" si="1073"/>
        <v>6</v>
      </c>
      <c r="S393" s="114">
        <f t="shared" si="1074"/>
        <v>0</v>
      </c>
      <c r="T393" s="93">
        <f t="shared" si="1075"/>
        <v>1</v>
      </c>
      <c r="U393" t="s">
        <v>0</v>
      </c>
      <c r="V393" s="79"/>
      <c r="W393" s="76"/>
      <c r="X393" s="76"/>
      <c r="Y393" s="76"/>
      <c r="Z393" s="76"/>
      <c r="AA393" s="80"/>
      <c r="AB393" s="79"/>
      <c r="AC393" s="76"/>
      <c r="AD393" s="76"/>
      <c r="AE393" s="76"/>
      <c r="AF393" s="76"/>
      <c r="AG393" s="80"/>
      <c r="AH393" s="79"/>
      <c r="AI393" s="76"/>
      <c r="AJ393" s="76"/>
      <c r="AK393" s="76"/>
      <c r="AL393" s="76"/>
      <c r="AM393" s="80"/>
      <c r="AN393" s="79"/>
      <c r="AO393" s="76"/>
      <c r="AP393" s="76"/>
      <c r="AQ393" s="76"/>
      <c r="AR393" s="76"/>
      <c r="AS393" s="80"/>
      <c r="AT393" s="79"/>
      <c r="AU393" s="76">
        <v>5</v>
      </c>
      <c r="AV393" s="76"/>
      <c r="AW393" s="76"/>
      <c r="AX393" s="76"/>
      <c r="AY393" s="80">
        <v>1</v>
      </c>
      <c r="AZ393" s="79"/>
      <c r="BA393" s="76"/>
      <c r="BB393" s="76"/>
      <c r="BC393" s="76"/>
      <c r="BD393" s="76"/>
      <c r="BE393" s="80"/>
      <c r="BF393" s="79"/>
      <c r="BG393" s="76"/>
      <c r="BH393" s="76"/>
      <c r="BI393" s="76"/>
      <c r="BJ393" s="76"/>
      <c r="BK393" s="80"/>
      <c r="BM393" s="125">
        <f t="shared" si="1076"/>
        <v>0</v>
      </c>
      <c r="BN393" s="126">
        <f t="shared" si="1077"/>
        <v>0</v>
      </c>
      <c r="BO393" s="126">
        <f t="shared" si="1078"/>
        <v>0</v>
      </c>
      <c r="BP393" s="126">
        <f t="shared" si="1079"/>
        <v>0</v>
      </c>
      <c r="BQ393" s="126">
        <f>SUM(AT393:AY393)</f>
        <v>6</v>
      </c>
      <c r="BR393" s="126">
        <f t="shared" si="1080"/>
        <v>0</v>
      </c>
      <c r="BS393" s="127">
        <f t="shared" si="1081"/>
        <v>0</v>
      </c>
      <c r="BU393" s="125">
        <f t="shared" si="1082"/>
        <v>0</v>
      </c>
      <c r="BV393" s="126">
        <f t="shared" si="1083"/>
        <v>0</v>
      </c>
      <c r="BW393" s="126">
        <f t="shared" si="1084"/>
        <v>0</v>
      </c>
      <c r="BX393" s="126">
        <f t="shared" si="1085"/>
        <v>0</v>
      </c>
      <c r="BY393" s="126">
        <f t="shared" si="1086"/>
        <v>6</v>
      </c>
      <c r="BZ393" s="126">
        <f t="shared" si="1086"/>
        <v>0</v>
      </c>
      <c r="CA393" s="126">
        <f t="shared" si="1086"/>
        <v>0</v>
      </c>
    </row>
    <row r="394" spans="1:79">
      <c r="A394" s="147" t="str">
        <f t="shared" si="933"/>
        <v>D</v>
      </c>
      <c r="B394" s="148">
        <f t="shared" si="934"/>
        <v>90000</v>
      </c>
      <c r="C394" s="149" t="s">
        <v>305</v>
      </c>
      <c r="D394" s="150" t="s">
        <v>0</v>
      </c>
      <c r="E394" s="150" t="s">
        <v>0</v>
      </c>
      <c r="F394" s="145" t="s">
        <v>310</v>
      </c>
      <c r="G394" s="150" t="s">
        <v>0</v>
      </c>
      <c r="H394" s="150" t="s">
        <v>0</v>
      </c>
      <c r="I394" s="150" t="s">
        <v>0</v>
      </c>
      <c r="J394" s="151" t="s">
        <v>54</v>
      </c>
      <c r="K394" s="13">
        <v>6</v>
      </c>
      <c r="L394" s="12" t="s">
        <v>32</v>
      </c>
      <c r="M394" s="13">
        <v>6</v>
      </c>
      <c r="N394" s="13">
        <v>0</v>
      </c>
      <c r="O394" s="14">
        <v>6</v>
      </c>
      <c r="P394" s="113">
        <f t="shared" si="1071"/>
        <v>6</v>
      </c>
      <c r="Q394" s="114">
        <f t="shared" si="1072"/>
        <v>0</v>
      </c>
      <c r="R394" s="114">
        <f t="shared" si="1073"/>
        <v>6</v>
      </c>
      <c r="S394" s="114">
        <f t="shared" si="1074"/>
        <v>0</v>
      </c>
      <c r="T394" s="93">
        <f t="shared" si="1075"/>
        <v>1</v>
      </c>
      <c r="U394" t="s">
        <v>0</v>
      </c>
      <c r="V394" s="79"/>
      <c r="W394" s="76"/>
      <c r="X394" s="76"/>
      <c r="Y394" s="76"/>
      <c r="Z394" s="76"/>
      <c r="AA394" s="80"/>
      <c r="AB394" s="79"/>
      <c r="AC394" s="76"/>
      <c r="AD394" s="76"/>
      <c r="AE394" s="76"/>
      <c r="AF394" s="76"/>
      <c r="AG394" s="80"/>
      <c r="AH394" s="79"/>
      <c r="AI394" s="76"/>
      <c r="AJ394" s="76"/>
      <c r="AK394" s="76"/>
      <c r="AL394" s="76"/>
      <c r="AM394" s="80"/>
      <c r="AN394" s="79"/>
      <c r="AO394" s="76"/>
      <c r="AP394" s="76"/>
      <c r="AQ394" s="76"/>
      <c r="AR394" s="76"/>
      <c r="AS394" s="80"/>
      <c r="AT394" s="79"/>
      <c r="AU394" s="76"/>
      <c r="AV394" s="76"/>
      <c r="AW394" s="76">
        <v>6</v>
      </c>
      <c r="AX394" s="76"/>
      <c r="AY394" s="80"/>
      <c r="AZ394" s="79"/>
      <c r="BA394" s="76"/>
      <c r="BB394" s="76"/>
      <c r="BC394" s="76"/>
      <c r="BD394" s="76"/>
      <c r="BE394" s="80"/>
      <c r="BF394" s="79"/>
      <c r="BG394" s="76"/>
      <c r="BH394" s="76"/>
      <c r="BI394" s="76"/>
      <c r="BJ394" s="76"/>
      <c r="BK394" s="80"/>
      <c r="BM394" s="125">
        <f t="shared" si="1076"/>
        <v>0</v>
      </c>
      <c r="BN394" s="126">
        <f t="shared" si="1077"/>
        <v>0</v>
      </c>
      <c r="BO394" s="126">
        <f t="shared" si="1078"/>
        <v>0</v>
      </c>
      <c r="BP394" s="126">
        <f t="shared" si="1079"/>
        <v>0</v>
      </c>
      <c r="BQ394" s="126">
        <f>SUM(AT394:AY394)</f>
        <v>6</v>
      </c>
      <c r="BR394" s="126">
        <f t="shared" si="1080"/>
        <v>0</v>
      </c>
      <c r="BS394" s="127">
        <f t="shared" si="1081"/>
        <v>0</v>
      </c>
      <c r="BU394" s="125">
        <f t="shared" si="1082"/>
        <v>0</v>
      </c>
      <c r="BV394" s="126">
        <f t="shared" si="1083"/>
        <v>0</v>
      </c>
      <c r="BW394" s="126">
        <f t="shared" si="1084"/>
        <v>0</v>
      </c>
      <c r="BX394" s="126">
        <f t="shared" si="1085"/>
        <v>0</v>
      </c>
      <c r="BY394" s="126">
        <f t="shared" si="1086"/>
        <v>6</v>
      </c>
      <c r="BZ394" s="126">
        <f t="shared" si="1086"/>
        <v>0</v>
      </c>
      <c r="CA394" s="126">
        <f t="shared" si="1086"/>
        <v>0</v>
      </c>
    </row>
    <row r="395" spans="1:79">
      <c r="A395" s="147" t="str">
        <f t="shared" ref="A395:A415" si="1087">IF(C395=C394,"D",(IF(C395="WBS","W","P")))</f>
        <v>D</v>
      </c>
      <c r="B395" s="148">
        <f t="shared" ref="B395:B415" si="1088">IF(C395="WBS",B396,VALUE(IF(C395=0,0,IF(LEN(C395)=5,LEFT(C395,1)&amp;"0000",LEFT(C395,2)&amp;"0000"))))</f>
        <v>90000</v>
      </c>
      <c r="C395" s="149" t="s">
        <v>305</v>
      </c>
      <c r="D395" s="150" t="s">
        <v>0</v>
      </c>
      <c r="E395" s="150" t="s">
        <v>0</v>
      </c>
      <c r="F395" s="145" t="s">
        <v>311</v>
      </c>
      <c r="G395" s="150" t="s">
        <v>0</v>
      </c>
      <c r="H395" s="150" t="s">
        <v>0</v>
      </c>
      <c r="I395" s="150" t="s">
        <v>0</v>
      </c>
      <c r="J395" s="151" t="s">
        <v>54</v>
      </c>
      <c r="K395" s="13">
        <v>1</v>
      </c>
      <c r="L395" s="12" t="s">
        <v>32</v>
      </c>
      <c r="M395" s="13">
        <v>1</v>
      </c>
      <c r="N395" s="13">
        <v>0</v>
      </c>
      <c r="O395" s="14">
        <v>1</v>
      </c>
      <c r="P395" s="113">
        <f t="shared" si="1071"/>
        <v>1</v>
      </c>
      <c r="Q395" s="114">
        <f t="shared" si="1072"/>
        <v>0</v>
      </c>
      <c r="R395" s="114">
        <f t="shared" si="1073"/>
        <v>1</v>
      </c>
      <c r="S395" s="114">
        <f t="shared" si="1074"/>
        <v>0</v>
      </c>
      <c r="T395" s="93">
        <f t="shared" si="1075"/>
        <v>1</v>
      </c>
      <c r="U395" t="s">
        <v>0</v>
      </c>
      <c r="V395" s="79"/>
      <c r="W395" s="76"/>
      <c r="X395" s="76"/>
      <c r="Y395" s="76"/>
      <c r="Z395" s="76"/>
      <c r="AA395" s="80"/>
      <c r="AB395" s="79"/>
      <c r="AC395" s="76"/>
      <c r="AD395" s="76"/>
      <c r="AE395" s="76"/>
      <c r="AF395" s="76"/>
      <c r="AG395" s="80"/>
      <c r="AH395" s="79"/>
      <c r="AI395" s="76"/>
      <c r="AJ395" s="76"/>
      <c r="AK395" s="76"/>
      <c r="AL395" s="76"/>
      <c r="AM395" s="80"/>
      <c r="AN395" s="79"/>
      <c r="AO395" s="76"/>
      <c r="AP395" s="76"/>
      <c r="AQ395" s="76"/>
      <c r="AR395" s="76"/>
      <c r="AS395" s="80"/>
      <c r="AT395" s="79"/>
      <c r="AU395" s="76"/>
      <c r="AV395" s="76"/>
      <c r="AW395" s="76">
        <v>1</v>
      </c>
      <c r="AX395" s="76"/>
      <c r="AY395" s="80"/>
      <c r="AZ395" s="79"/>
      <c r="BA395" s="76"/>
      <c r="BB395" s="76"/>
      <c r="BC395" s="76"/>
      <c r="BD395" s="76"/>
      <c r="BE395" s="80"/>
      <c r="BF395" s="79"/>
      <c r="BG395" s="76"/>
      <c r="BH395" s="76"/>
      <c r="BI395" s="76"/>
      <c r="BJ395" s="76"/>
      <c r="BK395" s="80"/>
      <c r="BM395" s="125">
        <f t="shared" si="1076"/>
        <v>0</v>
      </c>
      <c r="BN395" s="126">
        <f t="shared" si="1077"/>
        <v>0</v>
      </c>
      <c r="BO395" s="126">
        <f t="shared" si="1078"/>
        <v>0</v>
      </c>
      <c r="BP395" s="126">
        <f t="shared" si="1079"/>
        <v>0</v>
      </c>
      <c r="BQ395" s="126">
        <f>SUM(AT395:AY395)</f>
        <v>1</v>
      </c>
      <c r="BR395" s="126">
        <f t="shared" si="1080"/>
        <v>0</v>
      </c>
      <c r="BS395" s="127">
        <f t="shared" si="1081"/>
        <v>0</v>
      </c>
      <c r="BU395" s="125">
        <f t="shared" si="1082"/>
        <v>0</v>
      </c>
      <c r="BV395" s="126">
        <f t="shared" si="1083"/>
        <v>0</v>
      </c>
      <c r="BW395" s="126">
        <f t="shared" si="1084"/>
        <v>0</v>
      </c>
      <c r="BX395" s="126">
        <f t="shared" si="1085"/>
        <v>0</v>
      </c>
      <c r="BY395" s="126">
        <f t="shared" si="1086"/>
        <v>1</v>
      </c>
      <c r="BZ395" s="126">
        <f t="shared" si="1086"/>
        <v>0</v>
      </c>
      <c r="CA395" s="126">
        <f t="shared" si="1086"/>
        <v>0</v>
      </c>
    </row>
    <row r="396" spans="1:79">
      <c r="A396" s="147" t="str">
        <f t="shared" si="1087"/>
        <v>D</v>
      </c>
      <c r="B396" s="148">
        <f t="shared" si="1088"/>
        <v>90000</v>
      </c>
      <c r="C396" s="149" t="s">
        <v>305</v>
      </c>
      <c r="D396" s="150" t="s">
        <v>0</v>
      </c>
      <c r="E396" s="150" t="s">
        <v>0</v>
      </c>
      <c r="F396" s="164" t="s">
        <v>304</v>
      </c>
      <c r="G396" s="150" t="s">
        <v>0</v>
      </c>
      <c r="H396" s="150" t="s">
        <v>0</v>
      </c>
      <c r="I396" s="150" t="s">
        <v>0</v>
      </c>
      <c r="J396" s="151" t="s">
        <v>54</v>
      </c>
      <c r="K396" s="13">
        <v>3</v>
      </c>
      <c r="L396" s="12" t="s">
        <v>32</v>
      </c>
      <c r="M396" s="13">
        <v>3</v>
      </c>
      <c r="N396" s="13">
        <v>0</v>
      </c>
      <c r="O396" s="14">
        <v>3</v>
      </c>
      <c r="P396" s="113">
        <f t="shared" si="1071"/>
        <v>3</v>
      </c>
      <c r="Q396" s="114">
        <f t="shared" si="1072"/>
        <v>0</v>
      </c>
      <c r="R396" s="114">
        <f t="shared" si="1073"/>
        <v>3</v>
      </c>
      <c r="S396" s="114">
        <f t="shared" si="1074"/>
        <v>0</v>
      </c>
      <c r="T396" s="93">
        <f t="shared" si="1075"/>
        <v>1</v>
      </c>
      <c r="U396" t="s">
        <v>0</v>
      </c>
      <c r="V396" s="79"/>
      <c r="W396" s="76"/>
      <c r="X396" s="76"/>
      <c r="Y396" s="76"/>
      <c r="Z396" s="76"/>
      <c r="AA396" s="80"/>
      <c r="AB396" s="79"/>
      <c r="AC396" s="76"/>
      <c r="AD396" s="76"/>
      <c r="AE396" s="76"/>
      <c r="AF396" s="76"/>
      <c r="AG396" s="80"/>
      <c r="AH396" s="79"/>
      <c r="AI396" s="76"/>
      <c r="AJ396" s="76"/>
      <c r="AK396" s="76"/>
      <c r="AL396" s="76"/>
      <c r="AM396" s="80"/>
      <c r="AN396" s="79"/>
      <c r="AO396" s="76"/>
      <c r="AP396" s="76"/>
      <c r="AQ396" s="76"/>
      <c r="AR396" s="76"/>
      <c r="AS396" s="80"/>
      <c r="AT396" s="79"/>
      <c r="AU396" s="76"/>
      <c r="AV396" s="76"/>
      <c r="AW396" s="76">
        <v>3</v>
      </c>
      <c r="AX396" s="76"/>
      <c r="AY396" s="80"/>
      <c r="AZ396" s="79"/>
      <c r="BA396" s="76"/>
      <c r="BB396" s="76"/>
      <c r="BC396" s="76"/>
      <c r="BD396" s="76"/>
      <c r="BE396" s="80"/>
      <c r="BF396" s="79"/>
      <c r="BG396" s="76"/>
      <c r="BH396" s="76"/>
      <c r="BI396" s="76"/>
      <c r="BJ396" s="76"/>
      <c r="BK396" s="80"/>
      <c r="BM396" s="125">
        <f t="shared" si="1076"/>
        <v>0</v>
      </c>
      <c r="BN396" s="126">
        <f t="shared" si="1077"/>
        <v>0</v>
      </c>
      <c r="BO396" s="126">
        <f t="shared" si="1078"/>
        <v>0</v>
      </c>
      <c r="BP396" s="126">
        <f t="shared" si="1079"/>
        <v>0</v>
      </c>
      <c r="BQ396" s="126">
        <f>SUM(AT396:AY396)</f>
        <v>3</v>
      </c>
      <c r="BR396" s="126">
        <f t="shared" si="1080"/>
        <v>0</v>
      </c>
      <c r="BS396" s="127">
        <f t="shared" si="1081"/>
        <v>0</v>
      </c>
      <c r="BU396" s="125">
        <f t="shared" si="1082"/>
        <v>0</v>
      </c>
      <c r="BV396" s="126">
        <f t="shared" si="1083"/>
        <v>0</v>
      </c>
      <c r="BW396" s="126">
        <f t="shared" si="1084"/>
        <v>0</v>
      </c>
      <c r="BX396" s="126">
        <f t="shared" si="1085"/>
        <v>0</v>
      </c>
      <c r="BY396" s="126">
        <f t="shared" si="1086"/>
        <v>3</v>
      </c>
      <c r="BZ396" s="126">
        <f t="shared" si="1086"/>
        <v>0</v>
      </c>
      <c r="CA396" s="126">
        <f t="shared" si="1086"/>
        <v>0</v>
      </c>
    </row>
    <row r="397" spans="1:79">
      <c r="A397" s="147" t="str">
        <f t="shared" si="1087"/>
        <v>D</v>
      </c>
      <c r="B397" s="148">
        <f t="shared" si="1088"/>
        <v>90000</v>
      </c>
      <c r="C397" s="149" t="s">
        <v>305</v>
      </c>
      <c r="D397" s="150" t="s">
        <v>0</v>
      </c>
      <c r="E397" s="150" t="s">
        <v>0</v>
      </c>
      <c r="F397" s="145" t="s">
        <v>312</v>
      </c>
      <c r="G397" s="150" t="s">
        <v>0</v>
      </c>
      <c r="H397" s="150" t="s">
        <v>0</v>
      </c>
      <c r="I397" s="150" t="s">
        <v>0</v>
      </c>
      <c r="J397" s="151" t="s">
        <v>54</v>
      </c>
      <c r="K397" s="13">
        <v>2</v>
      </c>
      <c r="L397" s="12" t="s">
        <v>32</v>
      </c>
      <c r="M397" s="13">
        <v>3</v>
      </c>
      <c r="N397" s="13">
        <v>0</v>
      </c>
      <c r="O397" s="14">
        <v>3</v>
      </c>
      <c r="P397" s="113">
        <f t="shared" si="1071"/>
        <v>2</v>
      </c>
      <c r="Q397" s="114">
        <f t="shared" si="1072"/>
        <v>0</v>
      </c>
      <c r="R397" s="114">
        <f t="shared" si="1073"/>
        <v>3</v>
      </c>
      <c r="S397" s="114">
        <f t="shared" si="1074"/>
        <v>0</v>
      </c>
      <c r="T397" s="93">
        <f t="shared" si="1075"/>
        <v>1</v>
      </c>
      <c r="U397" t="s">
        <v>0</v>
      </c>
      <c r="V397" s="79"/>
      <c r="W397" s="76"/>
      <c r="X397" s="76"/>
      <c r="Y397" s="76"/>
      <c r="Z397" s="76"/>
      <c r="AA397" s="80"/>
      <c r="AB397" s="79"/>
      <c r="AC397" s="76"/>
      <c r="AD397" s="76"/>
      <c r="AE397" s="76"/>
      <c r="AF397" s="76"/>
      <c r="AG397" s="80"/>
      <c r="AH397" s="79"/>
      <c r="AI397" s="76"/>
      <c r="AJ397" s="76"/>
      <c r="AK397" s="76"/>
      <c r="AL397" s="76"/>
      <c r="AM397" s="80"/>
      <c r="AN397" s="79"/>
      <c r="AO397" s="76"/>
      <c r="AP397" s="76"/>
      <c r="AQ397" s="76"/>
      <c r="AR397" s="76"/>
      <c r="AS397" s="80"/>
      <c r="AT397" s="79"/>
      <c r="AU397" s="76"/>
      <c r="AV397" s="76"/>
      <c r="AW397" s="76">
        <v>2</v>
      </c>
      <c r="AX397" s="76"/>
      <c r="AY397" s="80"/>
      <c r="AZ397" s="79"/>
      <c r="BA397" s="76"/>
      <c r="BB397" s="76"/>
      <c r="BC397" s="76"/>
      <c r="BD397" s="76"/>
      <c r="BE397" s="80"/>
      <c r="BF397" s="79"/>
      <c r="BG397" s="76"/>
      <c r="BH397" s="76"/>
      <c r="BI397" s="76"/>
      <c r="BJ397" s="76"/>
      <c r="BK397" s="80"/>
      <c r="BM397" s="125">
        <f t="shared" si="1076"/>
        <v>0</v>
      </c>
      <c r="BN397" s="126">
        <f t="shared" si="1077"/>
        <v>0</v>
      </c>
      <c r="BO397" s="126">
        <f t="shared" si="1078"/>
        <v>0</v>
      </c>
      <c r="BP397" s="126">
        <f t="shared" si="1079"/>
        <v>0</v>
      </c>
      <c r="BQ397" s="126">
        <f>SUM(AT397:AY397)</f>
        <v>2</v>
      </c>
      <c r="BR397" s="126">
        <f t="shared" si="1080"/>
        <v>0</v>
      </c>
      <c r="BS397" s="127">
        <f t="shared" si="1081"/>
        <v>0</v>
      </c>
      <c r="BU397" s="125">
        <f t="shared" si="1082"/>
        <v>0</v>
      </c>
      <c r="BV397" s="126">
        <f t="shared" si="1083"/>
        <v>0</v>
      </c>
      <c r="BW397" s="126">
        <f t="shared" si="1084"/>
        <v>0</v>
      </c>
      <c r="BX397" s="126">
        <f t="shared" si="1085"/>
        <v>0</v>
      </c>
      <c r="BY397" s="126">
        <f t="shared" si="1086"/>
        <v>3</v>
      </c>
      <c r="BZ397" s="126">
        <f t="shared" si="1086"/>
        <v>0</v>
      </c>
      <c r="CA397" s="126">
        <f t="shared" si="1086"/>
        <v>0</v>
      </c>
    </row>
    <row r="398" spans="1:79">
      <c r="A398" s="147" t="str">
        <f t="shared" si="1087"/>
        <v>D</v>
      </c>
      <c r="B398" s="148">
        <f t="shared" si="1088"/>
        <v>90000</v>
      </c>
      <c r="C398" s="149" t="s">
        <v>305</v>
      </c>
      <c r="D398" s="150" t="s">
        <v>0</v>
      </c>
      <c r="E398" s="150" t="s">
        <v>0</v>
      </c>
      <c r="F398" s="145" t="s">
        <v>292</v>
      </c>
      <c r="G398" s="150" t="s">
        <v>0</v>
      </c>
      <c r="H398" s="150" t="s">
        <v>0</v>
      </c>
      <c r="I398" s="150" t="s">
        <v>0</v>
      </c>
      <c r="J398" s="151" t="s">
        <v>54</v>
      </c>
      <c r="K398" s="13">
        <v>20</v>
      </c>
      <c r="L398" s="12" t="s">
        <v>32</v>
      </c>
      <c r="M398" s="13">
        <v>3</v>
      </c>
      <c r="N398" s="13">
        <v>0</v>
      </c>
      <c r="O398" s="14">
        <v>3</v>
      </c>
      <c r="P398" s="113">
        <f t="shared" si="1071"/>
        <v>20</v>
      </c>
      <c r="Q398" s="114">
        <f t="shared" si="1072"/>
        <v>0</v>
      </c>
      <c r="R398" s="114">
        <f t="shared" si="1073"/>
        <v>3</v>
      </c>
      <c r="S398" s="114">
        <f t="shared" si="1074"/>
        <v>0</v>
      </c>
      <c r="T398" s="93">
        <f t="shared" si="1075"/>
        <v>1</v>
      </c>
      <c r="U398" t="s">
        <v>0</v>
      </c>
      <c r="V398" s="79"/>
      <c r="W398" s="76"/>
      <c r="X398" s="76"/>
      <c r="Y398" s="76"/>
      <c r="Z398" s="76"/>
      <c r="AA398" s="80"/>
      <c r="AB398" s="79"/>
      <c r="AC398" s="76"/>
      <c r="AD398" s="76"/>
      <c r="AE398" s="76"/>
      <c r="AF398" s="76"/>
      <c r="AG398" s="80"/>
      <c r="AH398" s="79"/>
      <c r="AI398" s="76"/>
      <c r="AJ398" s="76"/>
      <c r="AK398" s="76"/>
      <c r="AL398" s="76"/>
      <c r="AM398" s="80"/>
      <c r="AN398" s="79"/>
      <c r="AO398" s="76"/>
      <c r="AP398" s="76"/>
      <c r="AQ398" s="76"/>
      <c r="AR398" s="76"/>
      <c r="AS398" s="80"/>
      <c r="AT398" s="79"/>
      <c r="AU398" s="76"/>
      <c r="AV398" s="76"/>
      <c r="AW398" s="76">
        <v>10</v>
      </c>
      <c r="AX398" s="76"/>
      <c r="AY398" s="80">
        <v>10</v>
      </c>
      <c r="AZ398" s="79"/>
      <c r="BA398" s="76"/>
      <c r="BB398" s="76"/>
      <c r="BC398" s="76"/>
      <c r="BD398" s="76"/>
      <c r="BE398" s="80"/>
      <c r="BF398" s="79"/>
      <c r="BG398" s="76"/>
      <c r="BH398" s="76"/>
      <c r="BI398" s="76"/>
      <c r="BJ398" s="76"/>
      <c r="BK398" s="80"/>
      <c r="BM398" s="125">
        <f t="shared" si="1076"/>
        <v>0</v>
      </c>
      <c r="BN398" s="126">
        <f t="shared" si="1077"/>
        <v>0</v>
      </c>
      <c r="BO398" s="126">
        <f t="shared" si="1078"/>
        <v>0</v>
      </c>
      <c r="BP398" s="126">
        <f t="shared" si="1079"/>
        <v>0</v>
      </c>
      <c r="BQ398" s="126">
        <f>SUM(AT398:AY398)</f>
        <v>20</v>
      </c>
      <c r="BR398" s="126">
        <f t="shared" si="1080"/>
        <v>0</v>
      </c>
      <c r="BS398" s="127">
        <f t="shared" si="1081"/>
        <v>0</v>
      </c>
      <c r="BU398" s="125">
        <f t="shared" si="1082"/>
        <v>0</v>
      </c>
      <c r="BV398" s="126">
        <f t="shared" si="1083"/>
        <v>0</v>
      </c>
      <c r="BW398" s="126">
        <f t="shared" si="1084"/>
        <v>0</v>
      </c>
      <c r="BX398" s="126">
        <f t="shared" si="1085"/>
        <v>0</v>
      </c>
      <c r="BY398" s="126">
        <f t="shared" si="1086"/>
        <v>3</v>
      </c>
      <c r="BZ398" s="126">
        <f t="shared" si="1086"/>
        <v>0</v>
      </c>
      <c r="CA398" s="126">
        <f t="shared" si="1086"/>
        <v>0</v>
      </c>
    </row>
    <row r="399" spans="1:79" ht="15.75">
      <c r="A399" s="152" t="str">
        <f t="shared" si="1087"/>
        <v>P</v>
      </c>
      <c r="B399" s="153">
        <f t="shared" si="1088"/>
        <v>90000</v>
      </c>
      <c r="C399" s="154" t="s">
        <v>313</v>
      </c>
      <c r="D399" s="155" t="s">
        <v>0</v>
      </c>
      <c r="E399" s="155" t="s">
        <v>0</v>
      </c>
      <c r="F399" s="156" t="s">
        <v>287</v>
      </c>
      <c r="G399" s="155" t="s">
        <v>0</v>
      </c>
      <c r="H399" s="155" t="s">
        <v>0</v>
      </c>
      <c r="I399" s="155" t="s">
        <v>0</v>
      </c>
      <c r="J399" s="157" t="s">
        <v>54</v>
      </c>
      <c r="K399" s="11" t="s">
        <v>0</v>
      </c>
      <c r="L399" s="8" t="s">
        <v>0</v>
      </c>
      <c r="M399" s="9">
        <v>18</v>
      </c>
      <c r="N399" s="9">
        <v>3</v>
      </c>
      <c r="O399" s="10">
        <v>21</v>
      </c>
      <c r="P399" s="111"/>
      <c r="Q399" s="112"/>
      <c r="R399" s="112">
        <f>SUMIFS(R400:R$415,$C400:$C$415,$C399)</f>
        <v>21</v>
      </c>
      <c r="S399" s="112">
        <f>SUMIFS(S400:S$415,$C400:$C$415,$C399)</f>
        <v>0</v>
      </c>
      <c r="T399" s="92">
        <f>R399/O399</f>
        <v>1</v>
      </c>
      <c r="V399" s="77"/>
      <c r="W399" s="75"/>
      <c r="X399" s="75"/>
      <c r="Y399" s="75"/>
      <c r="Z399" s="75"/>
      <c r="AA399" s="78"/>
      <c r="AB399" s="77"/>
      <c r="AC399" s="75"/>
      <c r="AD399" s="75"/>
      <c r="AE399" s="75"/>
      <c r="AF399" s="75"/>
      <c r="AG399" s="78"/>
      <c r="AH399" s="77"/>
      <c r="AI399" s="75"/>
      <c r="AJ399" s="75"/>
      <c r="AK399" s="75"/>
      <c r="AL399" s="75"/>
      <c r="AM399" s="78"/>
      <c r="AN399" s="77"/>
      <c r="AO399" s="75"/>
      <c r="AP399" s="75"/>
      <c r="AQ399" s="75"/>
      <c r="AR399" s="75"/>
      <c r="AS399" s="78"/>
      <c r="AT399" s="77"/>
      <c r="AU399" s="75"/>
      <c r="AV399" s="75"/>
      <c r="AW399" s="75"/>
      <c r="AX399" s="75"/>
      <c r="AY399" s="78"/>
      <c r="AZ399" s="77"/>
      <c r="BA399" s="75"/>
      <c r="BB399" s="75"/>
      <c r="BC399" s="75"/>
      <c r="BD399" s="75"/>
      <c r="BE399" s="78"/>
      <c r="BF399" s="77"/>
      <c r="BG399" s="75"/>
      <c r="BH399" s="75"/>
      <c r="BI399" s="75"/>
      <c r="BJ399" s="75"/>
      <c r="BK399" s="78"/>
      <c r="BM399" s="122"/>
      <c r="BN399" s="123"/>
      <c r="BO399" s="123"/>
      <c r="BP399" s="123"/>
      <c r="BQ399" s="123"/>
      <c r="BR399" s="123"/>
      <c r="BS399" s="124"/>
      <c r="BU399" s="122"/>
      <c r="BV399" s="123"/>
      <c r="BW399" s="123"/>
      <c r="BX399" s="123"/>
      <c r="BY399" s="123"/>
      <c r="BZ399" s="123"/>
      <c r="CA399" s="123"/>
    </row>
    <row r="400" spans="1:79">
      <c r="A400" s="147" t="str">
        <f t="shared" si="1087"/>
        <v>D</v>
      </c>
      <c r="B400" s="148">
        <f t="shared" si="1088"/>
        <v>90000</v>
      </c>
      <c r="C400" s="149" t="s">
        <v>313</v>
      </c>
      <c r="D400" s="150" t="s">
        <v>0</v>
      </c>
      <c r="E400" s="150" t="s">
        <v>0</v>
      </c>
      <c r="F400" s="145" t="s">
        <v>314</v>
      </c>
      <c r="G400" s="150" t="s">
        <v>0</v>
      </c>
      <c r="H400" s="150" t="s">
        <v>0</v>
      </c>
      <c r="I400" s="150" t="s">
        <v>0</v>
      </c>
      <c r="J400" s="151" t="s">
        <v>54</v>
      </c>
      <c r="K400" s="13">
        <v>3</v>
      </c>
      <c r="L400" s="12" t="s">
        <v>32</v>
      </c>
      <c r="M400" s="13">
        <v>15</v>
      </c>
      <c r="N400" s="13">
        <v>3</v>
      </c>
      <c r="O400" s="14">
        <v>18</v>
      </c>
      <c r="P400" s="113">
        <f t="shared" ref="P400:P401" si="1089">SUM(BM400:BS400)</f>
        <v>3</v>
      </c>
      <c r="Q400" s="114">
        <f t="shared" ref="Q400:Q401" si="1090">K400-P400</f>
        <v>0</v>
      </c>
      <c r="R400" s="114">
        <f t="shared" ref="R400:R401" si="1091">SUM(BU400:CA400)</f>
        <v>18</v>
      </c>
      <c r="S400" s="114">
        <f t="shared" ref="S400:S401" si="1092">O400-R400</f>
        <v>0</v>
      </c>
      <c r="T400" s="93">
        <f t="shared" ref="T400:T401" si="1093">R400/O400</f>
        <v>1</v>
      </c>
      <c r="U400" t="s">
        <v>0</v>
      </c>
      <c r="V400" s="79"/>
      <c r="W400" s="76"/>
      <c r="X400" s="76"/>
      <c r="Y400" s="76"/>
      <c r="Z400" s="76"/>
      <c r="AA400" s="80"/>
      <c r="AB400" s="79"/>
      <c r="AC400" s="76"/>
      <c r="AD400" s="76"/>
      <c r="AE400" s="76"/>
      <c r="AF400" s="76"/>
      <c r="AG400" s="80"/>
      <c r="AH400" s="79"/>
      <c r="AI400" s="76"/>
      <c r="AJ400" s="76"/>
      <c r="AK400" s="76">
        <v>3</v>
      </c>
      <c r="AL400" s="76"/>
      <c r="AM400" s="80"/>
      <c r="AN400" s="79"/>
      <c r="AO400" s="76"/>
      <c r="AP400" s="76"/>
      <c r="AQ400" s="76"/>
      <c r="AR400" s="76"/>
      <c r="AS400" s="80"/>
      <c r="AT400" s="79"/>
      <c r="AU400" s="76"/>
      <c r="AV400" s="76"/>
      <c r="AW400" s="76"/>
      <c r="AX400" s="76"/>
      <c r="AY400" s="80"/>
      <c r="AZ400" s="79"/>
      <c r="BA400" s="76"/>
      <c r="BB400" s="76"/>
      <c r="BC400" s="76"/>
      <c r="BD400" s="76"/>
      <c r="BE400" s="80"/>
      <c r="BF400" s="79"/>
      <c r="BG400" s="76"/>
      <c r="BH400" s="76"/>
      <c r="BI400" s="76"/>
      <c r="BJ400" s="76"/>
      <c r="BK400" s="80"/>
      <c r="BM400" s="125">
        <f t="shared" ref="BM400:BM401" si="1094">SUM(V400:AA400)</f>
        <v>0</v>
      </c>
      <c r="BN400" s="126">
        <f t="shared" ref="BN400:BN401" si="1095">SUM(AB400:AG400)</f>
        <v>0</v>
      </c>
      <c r="BO400" s="126">
        <f t="shared" ref="BO400:BO401" si="1096">SUM(AH400:AM400)</f>
        <v>3</v>
      </c>
      <c r="BP400" s="126">
        <f t="shared" ref="BP400:BP401" si="1097">SUM(AN400:AS400)</f>
        <v>0</v>
      </c>
      <c r="BQ400" s="126">
        <f>SUM(AT400:AY400)</f>
        <v>0</v>
      </c>
      <c r="BR400" s="126">
        <f t="shared" ref="BR400:BS401" si="1098">SUM(AZ400:BE400)</f>
        <v>0</v>
      </c>
      <c r="BS400" s="127">
        <f t="shared" ref="BS400:BS401" si="1099">SUM(BF400:BK400)</f>
        <v>0</v>
      </c>
      <c r="BU400" s="125">
        <f t="shared" ref="BU400:BU401" si="1100">(BM400/$K400)*$O400</f>
        <v>0</v>
      </c>
      <c r="BV400" s="126">
        <f t="shared" ref="BV400:BV401" si="1101">(BN400/$K400)*$O400</f>
        <v>0</v>
      </c>
      <c r="BW400" s="126">
        <f t="shared" ref="BW400:BW401" si="1102">(BO400/$K400)*$O400</f>
        <v>18</v>
      </c>
      <c r="BX400" s="126">
        <f t="shared" ref="BX400:BX401" si="1103">(BP400/$K400)*$O400</f>
        <v>0</v>
      </c>
      <c r="BY400" s="126">
        <f t="shared" ref="BY400:CA401" si="1104">(BQ400/$K400)*$O400</f>
        <v>0</v>
      </c>
      <c r="BZ400" s="126">
        <f t="shared" si="1104"/>
        <v>0</v>
      </c>
      <c r="CA400" s="126">
        <f t="shared" si="1104"/>
        <v>0</v>
      </c>
    </row>
    <row r="401" spans="1:79">
      <c r="A401" s="147" t="str">
        <f t="shared" si="1087"/>
        <v>D</v>
      </c>
      <c r="B401" s="148">
        <f t="shared" si="1088"/>
        <v>90000</v>
      </c>
      <c r="C401" s="149" t="s">
        <v>313</v>
      </c>
      <c r="D401" s="150" t="s">
        <v>0</v>
      </c>
      <c r="E401" s="150" t="s">
        <v>0</v>
      </c>
      <c r="F401" s="145" t="s">
        <v>315</v>
      </c>
      <c r="G401" s="150" t="s">
        <v>0</v>
      </c>
      <c r="H401" s="150" t="s">
        <v>0</v>
      </c>
      <c r="I401" s="150" t="s">
        <v>0</v>
      </c>
      <c r="J401" s="151" t="s">
        <v>54</v>
      </c>
      <c r="K401" s="13">
        <v>1</v>
      </c>
      <c r="L401" s="12" t="s">
        <v>32</v>
      </c>
      <c r="M401" s="13">
        <v>3</v>
      </c>
      <c r="N401" s="13">
        <v>0</v>
      </c>
      <c r="O401" s="14">
        <v>3</v>
      </c>
      <c r="P401" s="113">
        <f t="shared" si="1089"/>
        <v>1</v>
      </c>
      <c r="Q401" s="114">
        <f t="shared" si="1090"/>
        <v>0</v>
      </c>
      <c r="R401" s="114">
        <f t="shared" si="1091"/>
        <v>3</v>
      </c>
      <c r="S401" s="114">
        <f t="shared" si="1092"/>
        <v>0</v>
      </c>
      <c r="T401" s="93">
        <f t="shared" si="1093"/>
        <v>1</v>
      </c>
      <c r="U401" t="s">
        <v>0</v>
      </c>
      <c r="V401" s="79"/>
      <c r="W401" s="76"/>
      <c r="X401" s="76"/>
      <c r="Y401" s="76"/>
      <c r="Z401" s="76"/>
      <c r="AA401" s="80"/>
      <c r="AB401" s="79"/>
      <c r="AC401" s="76"/>
      <c r="AD401" s="76"/>
      <c r="AE401" s="76"/>
      <c r="AF401" s="76"/>
      <c r="AG401" s="80"/>
      <c r="AH401" s="79"/>
      <c r="AI401" s="76"/>
      <c r="AJ401" s="76"/>
      <c r="AK401" s="76">
        <v>1</v>
      </c>
      <c r="AL401" s="76"/>
      <c r="AM401" s="80"/>
      <c r="AN401" s="79"/>
      <c r="AO401" s="76"/>
      <c r="AP401" s="76"/>
      <c r="AQ401" s="76"/>
      <c r="AR401" s="76"/>
      <c r="AS401" s="80"/>
      <c r="AT401" s="79"/>
      <c r="AU401" s="76"/>
      <c r="AV401" s="76"/>
      <c r="AW401" s="76"/>
      <c r="AX401" s="76"/>
      <c r="AY401" s="80"/>
      <c r="AZ401" s="79"/>
      <c r="BA401" s="76"/>
      <c r="BB401" s="76"/>
      <c r="BC401" s="76"/>
      <c r="BD401" s="76"/>
      <c r="BE401" s="80"/>
      <c r="BF401" s="79"/>
      <c r="BG401" s="76"/>
      <c r="BH401" s="76"/>
      <c r="BI401" s="76"/>
      <c r="BJ401" s="76"/>
      <c r="BK401" s="80"/>
      <c r="BM401" s="125">
        <f t="shared" si="1094"/>
        <v>0</v>
      </c>
      <c r="BN401" s="126">
        <f t="shared" si="1095"/>
        <v>0</v>
      </c>
      <c r="BO401" s="126">
        <f t="shared" si="1096"/>
        <v>1</v>
      </c>
      <c r="BP401" s="126">
        <f t="shared" si="1097"/>
        <v>0</v>
      </c>
      <c r="BQ401" s="126">
        <f>SUM(AT401:AY401)</f>
        <v>0</v>
      </c>
      <c r="BR401" s="126">
        <f t="shared" si="1098"/>
        <v>0</v>
      </c>
      <c r="BS401" s="127">
        <f t="shared" si="1099"/>
        <v>0</v>
      </c>
      <c r="BU401" s="125">
        <f t="shared" si="1100"/>
        <v>0</v>
      </c>
      <c r="BV401" s="126">
        <f t="shared" si="1101"/>
        <v>0</v>
      </c>
      <c r="BW401" s="126">
        <f t="shared" si="1102"/>
        <v>3</v>
      </c>
      <c r="BX401" s="126">
        <f t="shared" si="1103"/>
        <v>0</v>
      </c>
      <c r="BY401" s="126">
        <f t="shared" si="1104"/>
        <v>0</v>
      </c>
      <c r="BZ401" s="126">
        <f t="shared" si="1104"/>
        <v>0</v>
      </c>
      <c r="CA401" s="126">
        <f t="shared" si="1104"/>
        <v>0</v>
      </c>
    </row>
    <row r="402" spans="1:79" ht="15.75">
      <c r="A402" s="152" t="str">
        <f t="shared" si="1087"/>
        <v>P</v>
      </c>
      <c r="B402" s="153">
        <f t="shared" si="1088"/>
        <v>90000</v>
      </c>
      <c r="C402" s="154" t="s">
        <v>316</v>
      </c>
      <c r="D402" s="155" t="s">
        <v>0</v>
      </c>
      <c r="E402" s="155" t="s">
        <v>0</v>
      </c>
      <c r="F402" s="156" t="s">
        <v>317</v>
      </c>
      <c r="G402" s="155" t="s">
        <v>0</v>
      </c>
      <c r="H402" s="155" t="s">
        <v>0</v>
      </c>
      <c r="I402" s="155" t="s">
        <v>0</v>
      </c>
      <c r="J402" s="157" t="s">
        <v>54</v>
      </c>
      <c r="K402" s="11" t="s">
        <v>0</v>
      </c>
      <c r="L402" s="8" t="s">
        <v>0</v>
      </c>
      <c r="M402" s="9">
        <v>30.6</v>
      </c>
      <c r="N402" s="9">
        <v>15.6</v>
      </c>
      <c r="O402" s="10">
        <v>46.2</v>
      </c>
      <c r="P402" s="111"/>
      <c r="Q402" s="112"/>
      <c r="R402" s="112">
        <f>SUMIFS(R403:R$415,$C403:$C$415,$C402)</f>
        <v>46.2</v>
      </c>
      <c r="S402" s="112">
        <f>SUMIFS(S403:S$415,$C403:$C$415,$C402)</f>
        <v>0</v>
      </c>
      <c r="T402" s="92">
        <f>R402/O402</f>
        <v>1</v>
      </c>
      <c r="V402" s="77"/>
      <c r="W402" s="75"/>
      <c r="X402" s="75"/>
      <c r="Y402" s="75"/>
      <c r="Z402" s="75"/>
      <c r="AA402" s="78"/>
      <c r="AB402" s="77"/>
      <c r="AC402" s="75"/>
      <c r="AD402" s="75"/>
      <c r="AE402" s="75"/>
      <c r="AF402" s="75"/>
      <c r="AG402" s="78"/>
      <c r="AH402" s="77"/>
      <c r="AI402" s="75"/>
      <c r="AJ402" s="75"/>
      <c r="AK402" s="75"/>
      <c r="AL402" s="75"/>
      <c r="AM402" s="78"/>
      <c r="AN402" s="77"/>
      <c r="AO402" s="75"/>
      <c r="AP402" s="75"/>
      <c r="AQ402" s="75"/>
      <c r="AR402" s="75"/>
      <c r="AS402" s="78"/>
      <c r="AT402" s="77"/>
      <c r="AU402" s="75"/>
      <c r="AV402" s="75"/>
      <c r="AW402" s="75"/>
      <c r="AX402" s="75"/>
      <c r="AY402" s="78"/>
      <c r="AZ402" s="77"/>
      <c r="BA402" s="75"/>
      <c r="BB402" s="75"/>
      <c r="BC402" s="75"/>
      <c r="BD402" s="75"/>
      <c r="BE402" s="78"/>
      <c r="BF402" s="77"/>
      <c r="BG402" s="75"/>
      <c r="BH402" s="75"/>
      <c r="BI402" s="75"/>
      <c r="BJ402" s="75"/>
      <c r="BK402" s="78"/>
      <c r="BM402" s="122"/>
      <c r="BN402" s="123"/>
      <c r="BO402" s="123"/>
      <c r="BP402" s="123"/>
      <c r="BQ402" s="123"/>
      <c r="BR402" s="123"/>
      <c r="BS402" s="124"/>
      <c r="BU402" s="122"/>
      <c r="BV402" s="123"/>
      <c r="BW402" s="123"/>
      <c r="BX402" s="123"/>
      <c r="BY402" s="123"/>
      <c r="BZ402" s="123"/>
      <c r="CA402" s="123"/>
    </row>
    <row r="403" spans="1:79">
      <c r="A403" s="165" t="str">
        <f t="shared" si="1087"/>
        <v>D</v>
      </c>
      <c r="B403" s="166">
        <f t="shared" si="1088"/>
        <v>90000</v>
      </c>
      <c r="C403" s="167" t="s">
        <v>316</v>
      </c>
      <c r="D403" s="168" t="s">
        <v>0</v>
      </c>
      <c r="E403" s="168" t="s">
        <v>0</v>
      </c>
      <c r="F403" s="145" t="s">
        <v>318</v>
      </c>
      <c r="G403" s="168" t="s">
        <v>0</v>
      </c>
      <c r="H403" s="168" t="s">
        <v>0</v>
      </c>
      <c r="I403" s="168" t="s">
        <v>0</v>
      </c>
      <c r="J403" s="169" t="s">
        <v>54</v>
      </c>
      <c r="K403" s="13">
        <v>100</v>
      </c>
      <c r="L403" s="12" t="s">
        <v>56</v>
      </c>
      <c r="M403" s="13">
        <v>15</v>
      </c>
      <c r="N403" s="13">
        <v>0</v>
      </c>
      <c r="O403" s="14">
        <v>15</v>
      </c>
      <c r="P403" s="113">
        <f t="shared" ref="P403:P404" si="1105">SUM(BM403:BS403)</f>
        <v>100</v>
      </c>
      <c r="Q403" s="114">
        <f t="shared" ref="Q403:Q404" si="1106">K403-P403</f>
        <v>0</v>
      </c>
      <c r="R403" s="114">
        <f t="shared" ref="R403:R404" si="1107">SUM(BU403:CA403)</f>
        <v>15</v>
      </c>
      <c r="S403" s="114">
        <f t="shared" ref="S403:S404" si="1108">O403-R403</f>
        <v>0</v>
      </c>
      <c r="T403" s="93">
        <f t="shared" ref="T403:T404" si="1109">R403/O403</f>
        <v>1</v>
      </c>
      <c r="U403" t="s">
        <v>0</v>
      </c>
      <c r="V403" s="79"/>
      <c r="W403" s="76"/>
      <c r="X403" s="76"/>
      <c r="Y403" s="76"/>
      <c r="Z403" s="76"/>
      <c r="AA403" s="80"/>
      <c r="AB403" s="79"/>
      <c r="AC403" s="76"/>
      <c r="AD403" s="76"/>
      <c r="AE403" s="76"/>
      <c r="AF403" s="76"/>
      <c r="AG403" s="80"/>
      <c r="AH403" s="79"/>
      <c r="AI403" s="76"/>
      <c r="AJ403" s="76"/>
      <c r="AK403" s="76"/>
      <c r="AL403" s="76"/>
      <c r="AM403" s="80"/>
      <c r="AN403" s="79"/>
      <c r="AO403" s="76"/>
      <c r="AP403" s="76"/>
      <c r="AQ403" s="76"/>
      <c r="AR403" s="76"/>
      <c r="AS403" s="80"/>
      <c r="AT403" s="79"/>
      <c r="AU403" s="76">
        <v>75</v>
      </c>
      <c r="AV403" s="76">
        <v>25</v>
      </c>
      <c r="AW403" s="76"/>
      <c r="AX403" s="76"/>
      <c r="AY403" s="80"/>
      <c r="AZ403" s="79"/>
      <c r="BA403" s="76"/>
      <c r="BB403" s="76"/>
      <c r="BC403" s="76"/>
      <c r="BD403" s="76"/>
      <c r="BE403" s="80"/>
      <c r="BF403" s="79"/>
      <c r="BG403" s="76"/>
      <c r="BH403" s="76"/>
      <c r="BI403" s="76"/>
      <c r="BJ403" s="76"/>
      <c r="BK403" s="80"/>
      <c r="BM403" s="125">
        <f t="shared" ref="BM403:BM404" si="1110">SUM(V403:AA403)</f>
        <v>0</v>
      </c>
      <c r="BN403" s="126">
        <f t="shared" ref="BN403:BN404" si="1111">SUM(AB403:AG403)</f>
        <v>0</v>
      </c>
      <c r="BO403" s="126">
        <f t="shared" ref="BO403:BO404" si="1112">SUM(AH403:AM403)</f>
        <v>0</v>
      </c>
      <c r="BP403" s="126">
        <f t="shared" ref="BP403:BP404" si="1113">SUM(AN403:AS403)</f>
        <v>0</v>
      </c>
      <c r="BQ403" s="126">
        <f>SUM(AT403:AY403)</f>
        <v>100</v>
      </c>
      <c r="BR403" s="126">
        <f t="shared" ref="BR403:BS404" si="1114">SUM(AZ403:BE403)</f>
        <v>0</v>
      </c>
      <c r="BS403" s="127">
        <f t="shared" ref="BS403:BS404" si="1115">SUM(BF403:BK403)</f>
        <v>0</v>
      </c>
      <c r="BU403" s="125">
        <f t="shared" ref="BU403:BU404" si="1116">(BM403/$K403)*$O403</f>
        <v>0</v>
      </c>
      <c r="BV403" s="126">
        <f t="shared" ref="BV403:BV404" si="1117">(BN403/$K403)*$O403</f>
        <v>0</v>
      </c>
      <c r="BW403" s="126">
        <f t="shared" ref="BW403:BW404" si="1118">(BO403/$K403)*$O403</f>
        <v>0</v>
      </c>
      <c r="BX403" s="126">
        <f t="shared" ref="BX403:BX404" si="1119">(BP403/$K403)*$O403</f>
        <v>0</v>
      </c>
      <c r="BY403" s="126">
        <f t="shared" ref="BY403:CA404" si="1120">(BQ403/$K403)*$O403</f>
        <v>15</v>
      </c>
      <c r="BZ403" s="126">
        <f t="shared" si="1120"/>
        <v>0</v>
      </c>
      <c r="CA403" s="126">
        <f t="shared" si="1120"/>
        <v>0</v>
      </c>
    </row>
    <row r="404" spans="1:79">
      <c r="A404" s="147" t="str">
        <f t="shared" si="1087"/>
        <v>D</v>
      </c>
      <c r="B404" s="148">
        <f t="shared" si="1088"/>
        <v>90000</v>
      </c>
      <c r="C404" s="149" t="s">
        <v>316</v>
      </c>
      <c r="D404" s="150" t="s">
        <v>0</v>
      </c>
      <c r="E404" s="150" t="s">
        <v>0</v>
      </c>
      <c r="F404" s="145" t="s">
        <v>319</v>
      </c>
      <c r="G404" s="150" t="s">
        <v>0</v>
      </c>
      <c r="H404" s="150" t="s">
        <v>0</v>
      </c>
      <c r="I404" s="150" t="s">
        <v>0</v>
      </c>
      <c r="J404" s="151" t="s">
        <v>54</v>
      </c>
      <c r="K404" s="13">
        <v>26</v>
      </c>
      <c r="L404" s="12" t="s">
        <v>32</v>
      </c>
      <c r="M404" s="13">
        <v>15.6</v>
      </c>
      <c r="N404" s="13">
        <v>15.6</v>
      </c>
      <c r="O404" s="14">
        <v>31.2</v>
      </c>
      <c r="P404" s="113">
        <f t="shared" si="1105"/>
        <v>26</v>
      </c>
      <c r="Q404" s="114">
        <f t="shared" si="1106"/>
        <v>0</v>
      </c>
      <c r="R404" s="114">
        <f t="shared" si="1107"/>
        <v>31.2</v>
      </c>
      <c r="S404" s="114">
        <f t="shared" si="1108"/>
        <v>0</v>
      </c>
      <c r="T404" s="93">
        <f t="shared" si="1109"/>
        <v>1</v>
      </c>
      <c r="U404" t="s">
        <v>0</v>
      </c>
      <c r="V404" s="79"/>
      <c r="W404" s="76"/>
      <c r="X404" s="76"/>
      <c r="Y404" s="76"/>
      <c r="Z404" s="76"/>
      <c r="AA404" s="80"/>
      <c r="AB404" s="79"/>
      <c r="AC404" s="76"/>
      <c r="AD404" s="76"/>
      <c r="AE404" s="76"/>
      <c r="AF404" s="76"/>
      <c r="AG404" s="80"/>
      <c r="AH404" s="79"/>
      <c r="AI404" s="76"/>
      <c r="AJ404" s="76"/>
      <c r="AK404" s="76"/>
      <c r="AL404" s="76"/>
      <c r="AM404" s="80"/>
      <c r="AN404" s="79"/>
      <c r="AO404" s="76"/>
      <c r="AP404" s="76"/>
      <c r="AQ404" s="76"/>
      <c r="AR404" s="76"/>
      <c r="AS404" s="80"/>
      <c r="AT404" s="79"/>
      <c r="AU404" s="76">
        <v>20</v>
      </c>
      <c r="AV404" s="76">
        <v>6</v>
      </c>
      <c r="AW404" s="76"/>
      <c r="AX404" s="76"/>
      <c r="AY404" s="80"/>
      <c r="AZ404" s="79"/>
      <c r="BA404" s="76"/>
      <c r="BB404" s="76"/>
      <c r="BC404" s="76"/>
      <c r="BD404" s="76"/>
      <c r="BE404" s="80"/>
      <c r="BF404" s="79"/>
      <c r="BG404" s="76"/>
      <c r="BH404" s="76"/>
      <c r="BI404" s="76"/>
      <c r="BJ404" s="76"/>
      <c r="BK404" s="80"/>
      <c r="BM404" s="125">
        <f t="shared" si="1110"/>
        <v>0</v>
      </c>
      <c r="BN404" s="126">
        <f t="shared" si="1111"/>
        <v>0</v>
      </c>
      <c r="BO404" s="126">
        <f t="shared" si="1112"/>
        <v>0</v>
      </c>
      <c r="BP404" s="126">
        <f t="shared" si="1113"/>
        <v>0</v>
      </c>
      <c r="BQ404" s="126">
        <f>SUM(AT404:AY404)</f>
        <v>26</v>
      </c>
      <c r="BR404" s="126">
        <f t="shared" si="1114"/>
        <v>0</v>
      </c>
      <c r="BS404" s="127">
        <f t="shared" si="1115"/>
        <v>0</v>
      </c>
      <c r="BU404" s="125">
        <f t="shared" si="1116"/>
        <v>0</v>
      </c>
      <c r="BV404" s="126">
        <f t="shared" si="1117"/>
        <v>0</v>
      </c>
      <c r="BW404" s="126">
        <f t="shared" si="1118"/>
        <v>0</v>
      </c>
      <c r="BX404" s="126">
        <f t="shared" si="1119"/>
        <v>0</v>
      </c>
      <c r="BY404" s="126">
        <f t="shared" si="1120"/>
        <v>31.2</v>
      </c>
      <c r="BZ404" s="126">
        <f t="shared" si="1120"/>
        <v>0</v>
      </c>
      <c r="CA404" s="126">
        <f t="shared" si="1120"/>
        <v>0</v>
      </c>
    </row>
    <row r="405" spans="1:79" ht="18.75">
      <c r="A405" s="158" t="str">
        <f t="shared" si="1087"/>
        <v>W</v>
      </c>
      <c r="B405" s="159">
        <f t="shared" si="1088"/>
        <v>190000</v>
      </c>
      <c r="C405" s="160" t="s">
        <v>14</v>
      </c>
      <c r="D405" s="161" t="s">
        <v>0</v>
      </c>
      <c r="E405" s="161" t="s">
        <v>0</v>
      </c>
      <c r="F405" s="162" t="s">
        <v>320</v>
      </c>
      <c r="G405" s="161" t="s">
        <v>0</v>
      </c>
      <c r="H405" s="161" t="s">
        <v>0</v>
      </c>
      <c r="I405" s="161" t="s">
        <v>0</v>
      </c>
      <c r="J405" s="163" t="s">
        <v>0</v>
      </c>
      <c r="K405" s="6" t="s">
        <v>0</v>
      </c>
      <c r="L405" s="3" t="s">
        <v>0</v>
      </c>
      <c r="M405" s="4">
        <v>43</v>
      </c>
      <c r="N405" s="4">
        <v>0</v>
      </c>
      <c r="O405" s="5">
        <v>43</v>
      </c>
      <c r="P405" s="115"/>
      <c r="Q405" s="116"/>
      <c r="R405" s="116">
        <f>SUMIFS(R406:R$415,$A406:$A$415,"P",$B406:$B$415,$B405)</f>
        <v>0</v>
      </c>
      <c r="S405" s="116">
        <f>SUMIFS(S406:S$415,$A406:$A$415,"P",$B406:$B$415,$B405)</f>
        <v>43</v>
      </c>
      <c r="T405" s="94">
        <f>R405/O405</f>
        <v>0</v>
      </c>
      <c r="V405" s="77"/>
      <c r="W405" s="75"/>
      <c r="X405" s="75"/>
      <c r="Y405" s="75"/>
      <c r="Z405" s="75"/>
      <c r="AA405" s="78"/>
      <c r="AB405" s="77"/>
      <c r="AC405" s="75"/>
      <c r="AD405" s="75"/>
      <c r="AE405" s="75"/>
      <c r="AF405" s="75"/>
      <c r="AG405" s="78"/>
      <c r="AH405" s="77"/>
      <c r="AI405" s="75"/>
      <c r="AJ405" s="75"/>
      <c r="AK405" s="75"/>
      <c r="AL405" s="75"/>
      <c r="AM405" s="78"/>
      <c r="AN405" s="77"/>
      <c r="AO405" s="75"/>
      <c r="AP405" s="75"/>
      <c r="AQ405" s="75"/>
      <c r="AR405" s="75"/>
      <c r="AS405" s="78"/>
      <c r="AT405" s="77"/>
      <c r="AU405" s="75"/>
      <c r="AV405" s="75"/>
      <c r="AW405" s="75"/>
      <c r="AX405" s="75"/>
      <c r="AY405" s="78"/>
      <c r="AZ405" s="77"/>
      <c r="BA405" s="75"/>
      <c r="BB405" s="75"/>
      <c r="BC405" s="75"/>
      <c r="BD405" s="75"/>
      <c r="BE405" s="78"/>
      <c r="BF405" s="77"/>
      <c r="BG405" s="75"/>
      <c r="BH405" s="75"/>
      <c r="BI405" s="75"/>
      <c r="BJ405" s="75"/>
      <c r="BK405" s="78"/>
      <c r="BM405" s="122"/>
      <c r="BN405" s="123"/>
      <c r="BO405" s="123"/>
      <c r="BP405" s="123"/>
      <c r="BQ405" s="123"/>
      <c r="BR405" s="123"/>
      <c r="BS405" s="124"/>
      <c r="BU405" s="122"/>
      <c r="BV405" s="123"/>
      <c r="BW405" s="123"/>
      <c r="BX405" s="123"/>
      <c r="BY405" s="123"/>
      <c r="BZ405" s="123"/>
      <c r="CA405" s="123"/>
    </row>
    <row r="406" spans="1:79" ht="15.75">
      <c r="A406" s="152" t="str">
        <f t="shared" si="1087"/>
        <v>P</v>
      </c>
      <c r="B406" s="153">
        <f t="shared" si="1088"/>
        <v>190000</v>
      </c>
      <c r="C406" s="154" t="s">
        <v>321</v>
      </c>
      <c r="D406" s="155" t="s">
        <v>0</v>
      </c>
      <c r="E406" s="155" t="s">
        <v>0</v>
      </c>
      <c r="F406" s="156" t="s">
        <v>322</v>
      </c>
      <c r="G406" s="155" t="s">
        <v>0</v>
      </c>
      <c r="H406" s="155" t="s">
        <v>0</v>
      </c>
      <c r="I406" s="155" t="s">
        <v>0</v>
      </c>
      <c r="J406" s="157" t="s">
        <v>0</v>
      </c>
      <c r="K406" s="11" t="s">
        <v>0</v>
      </c>
      <c r="L406" s="8" t="s">
        <v>0</v>
      </c>
      <c r="M406" s="9">
        <v>20</v>
      </c>
      <c r="N406" s="9">
        <v>0</v>
      </c>
      <c r="O406" s="10">
        <v>20</v>
      </c>
      <c r="P406" s="111"/>
      <c r="Q406" s="112"/>
      <c r="R406" s="112">
        <f>SUMIFS(R407:R$415,$C407:$C$415,$C406)</f>
        <v>0</v>
      </c>
      <c r="S406" s="112">
        <f>SUMIFS(S407:S$415,$C407:$C$415,$C406)</f>
        <v>20</v>
      </c>
      <c r="T406" s="92">
        <f>R406/O406</f>
        <v>0</v>
      </c>
      <c r="V406" s="77"/>
      <c r="W406" s="75"/>
      <c r="X406" s="75"/>
      <c r="Y406" s="75"/>
      <c r="Z406" s="75"/>
      <c r="AA406" s="78"/>
      <c r="AB406" s="77"/>
      <c r="AC406" s="75"/>
      <c r="AD406" s="75"/>
      <c r="AE406" s="75"/>
      <c r="AF406" s="75"/>
      <c r="AG406" s="78"/>
      <c r="AH406" s="77"/>
      <c r="AI406" s="75"/>
      <c r="AJ406" s="75"/>
      <c r="AK406" s="75"/>
      <c r="AL406" s="75"/>
      <c r="AM406" s="78"/>
      <c r="AN406" s="77"/>
      <c r="AO406" s="75"/>
      <c r="AP406" s="75"/>
      <c r="AQ406" s="75"/>
      <c r="AR406" s="75"/>
      <c r="AS406" s="78"/>
      <c r="AT406" s="77"/>
      <c r="AU406" s="75"/>
      <c r="AV406" s="75"/>
      <c r="AW406" s="75"/>
      <c r="AX406" s="75"/>
      <c r="AY406" s="78"/>
      <c r="AZ406" s="77"/>
      <c r="BA406" s="75"/>
      <c r="BB406" s="75"/>
      <c r="BC406" s="75"/>
      <c r="BD406" s="75"/>
      <c r="BE406" s="78"/>
      <c r="BF406" s="77"/>
      <c r="BG406" s="75"/>
      <c r="BH406" s="75"/>
      <c r="BI406" s="75"/>
      <c r="BJ406" s="75"/>
      <c r="BK406" s="78"/>
      <c r="BM406" s="122"/>
      <c r="BN406" s="123"/>
      <c r="BO406" s="123"/>
      <c r="BP406" s="123"/>
      <c r="BQ406" s="123"/>
      <c r="BR406" s="123"/>
      <c r="BS406" s="124"/>
      <c r="BU406" s="122"/>
      <c r="BV406" s="123"/>
      <c r="BW406" s="123"/>
      <c r="BX406" s="123"/>
      <c r="BY406" s="123"/>
      <c r="BZ406" s="123"/>
      <c r="CA406" s="123"/>
    </row>
    <row r="407" spans="1:79">
      <c r="A407" s="147" t="str">
        <f t="shared" si="1087"/>
        <v>D</v>
      </c>
      <c r="B407" s="148">
        <f t="shared" si="1088"/>
        <v>190000</v>
      </c>
      <c r="C407" s="149" t="s">
        <v>321</v>
      </c>
      <c r="D407" s="150" t="s">
        <v>0</v>
      </c>
      <c r="E407" s="150" t="s">
        <v>0</v>
      </c>
      <c r="F407" s="145" t="s">
        <v>323</v>
      </c>
      <c r="G407" s="150" t="s">
        <v>0</v>
      </c>
      <c r="H407" s="150" t="s">
        <v>0</v>
      </c>
      <c r="I407" s="150" t="s">
        <v>0</v>
      </c>
      <c r="J407" s="151" t="s">
        <v>0</v>
      </c>
      <c r="K407" s="13">
        <v>2</v>
      </c>
      <c r="L407" s="12" t="s">
        <v>62</v>
      </c>
      <c r="M407" s="13">
        <v>20</v>
      </c>
      <c r="N407" s="13">
        <v>0</v>
      </c>
      <c r="O407" s="14">
        <v>20</v>
      </c>
      <c r="P407" s="113">
        <f>SUM(BM407:BS407)</f>
        <v>0</v>
      </c>
      <c r="Q407" s="114">
        <f>K407-P407</f>
        <v>2</v>
      </c>
      <c r="R407" s="114">
        <f>SUM(BU407:CA407)</f>
        <v>0</v>
      </c>
      <c r="S407" s="114">
        <f>O407-R407</f>
        <v>20</v>
      </c>
      <c r="T407" s="93">
        <f>R407/O407</f>
        <v>0</v>
      </c>
      <c r="U407" t="s">
        <v>0</v>
      </c>
      <c r="V407" s="79"/>
      <c r="W407" s="76"/>
      <c r="X407" s="76"/>
      <c r="Y407" s="76"/>
      <c r="Z407" s="76"/>
      <c r="AA407" s="80"/>
      <c r="AB407" s="79"/>
      <c r="AC407" s="76"/>
      <c r="AD407" s="76"/>
      <c r="AE407" s="76"/>
      <c r="AF407" s="76"/>
      <c r="AG407" s="80"/>
      <c r="AH407" s="79"/>
      <c r="AI407" s="76"/>
      <c r="AJ407" s="76"/>
      <c r="AK407" s="76"/>
      <c r="AL407" s="76"/>
      <c r="AM407" s="80"/>
      <c r="AN407" s="79"/>
      <c r="AO407" s="76"/>
      <c r="AP407" s="76"/>
      <c r="AQ407" s="76"/>
      <c r="AR407" s="76"/>
      <c r="AS407" s="80"/>
      <c r="AT407" s="79"/>
      <c r="AU407" s="76"/>
      <c r="AV407" s="76"/>
      <c r="AW407" s="76"/>
      <c r="AX407" s="76"/>
      <c r="AY407" s="80"/>
      <c r="AZ407" s="79"/>
      <c r="BA407" s="76"/>
      <c r="BB407" s="76"/>
      <c r="BC407" s="76"/>
      <c r="BD407" s="76"/>
      <c r="BE407" s="80"/>
      <c r="BF407" s="79"/>
      <c r="BG407" s="76"/>
      <c r="BH407" s="76"/>
      <c r="BI407" s="76"/>
      <c r="BJ407" s="76"/>
      <c r="BK407" s="80"/>
      <c r="BM407" s="125">
        <f>SUM(V407:AA407)</f>
        <v>0</v>
      </c>
      <c r="BN407" s="126">
        <f>SUM(AB407:AG407)</f>
        <v>0</v>
      </c>
      <c r="BO407" s="126">
        <f>SUM(AH407:AM407)</f>
        <v>0</v>
      </c>
      <c r="BP407" s="126">
        <f>SUM(AN407:AS407)</f>
        <v>0</v>
      </c>
      <c r="BQ407" s="126">
        <f>SUM(AT407:AY407)</f>
        <v>0</v>
      </c>
      <c r="BR407" s="126">
        <f>SUM(AZ407:BE407)</f>
        <v>0</v>
      </c>
      <c r="BS407" s="127">
        <f>SUM(BF407:BK407)</f>
        <v>0</v>
      </c>
      <c r="BU407" s="125">
        <f>(BM407/$K407)*$O407</f>
        <v>0</v>
      </c>
      <c r="BV407" s="126">
        <f t="shared" ref="BV407" si="1121">(BN407/$K407)*$O407</f>
        <v>0</v>
      </c>
      <c r="BW407" s="126">
        <f t="shared" ref="BW407" si="1122">(BO407/$K407)*$O407</f>
        <v>0</v>
      </c>
      <c r="BX407" s="126">
        <f t="shared" ref="BX407" si="1123">(BP407/$K407)*$O407</f>
        <v>0</v>
      </c>
      <c r="BY407" s="126">
        <f t="shared" ref="BY407:CA407" si="1124">(BQ407/$K407)*$O407</f>
        <v>0</v>
      </c>
      <c r="BZ407" s="126">
        <f t="shared" si="1124"/>
        <v>0</v>
      </c>
      <c r="CA407" s="126">
        <f t="shared" si="1124"/>
        <v>0</v>
      </c>
    </row>
    <row r="408" spans="1:79" ht="15.75">
      <c r="A408" s="152" t="str">
        <f t="shared" si="1087"/>
        <v>P</v>
      </c>
      <c r="B408" s="153">
        <f t="shared" si="1088"/>
        <v>190000</v>
      </c>
      <c r="C408" s="154" t="s">
        <v>324</v>
      </c>
      <c r="D408" s="155" t="s">
        <v>0</v>
      </c>
      <c r="E408" s="155" t="s">
        <v>0</v>
      </c>
      <c r="F408" s="156" t="s">
        <v>325</v>
      </c>
      <c r="G408" s="155" t="s">
        <v>0</v>
      </c>
      <c r="H408" s="155" t="s">
        <v>0</v>
      </c>
      <c r="I408" s="155" t="s">
        <v>0</v>
      </c>
      <c r="J408" s="157" t="s">
        <v>0</v>
      </c>
      <c r="K408" s="11" t="s">
        <v>0</v>
      </c>
      <c r="L408" s="8" t="s">
        <v>0</v>
      </c>
      <c r="M408" s="9">
        <v>13</v>
      </c>
      <c r="N408" s="9">
        <v>0</v>
      </c>
      <c r="O408" s="10">
        <v>13</v>
      </c>
      <c r="P408" s="111"/>
      <c r="Q408" s="112"/>
      <c r="R408" s="112">
        <f>SUMIFS(R409:R$415,$C409:$C$415,$C408)</f>
        <v>0</v>
      </c>
      <c r="S408" s="112">
        <f>SUMIFS(S409:S$415,$C409:$C$415,$C408)</f>
        <v>13</v>
      </c>
      <c r="T408" s="92">
        <f>R408/O408</f>
        <v>0</v>
      </c>
      <c r="V408" s="77"/>
      <c r="W408" s="75"/>
      <c r="X408" s="75"/>
      <c r="Y408" s="75"/>
      <c r="Z408" s="75"/>
      <c r="AA408" s="78"/>
      <c r="AB408" s="77"/>
      <c r="AC408" s="75"/>
      <c r="AD408" s="75"/>
      <c r="AE408" s="75"/>
      <c r="AF408" s="75"/>
      <c r="AG408" s="78"/>
      <c r="AH408" s="77"/>
      <c r="AI408" s="75"/>
      <c r="AJ408" s="75"/>
      <c r="AK408" s="75"/>
      <c r="AL408" s="75"/>
      <c r="AM408" s="78"/>
      <c r="AN408" s="77"/>
      <c r="AO408" s="75"/>
      <c r="AP408" s="75"/>
      <c r="AQ408" s="75"/>
      <c r="AR408" s="75"/>
      <c r="AS408" s="78"/>
      <c r="AT408" s="77"/>
      <c r="AU408" s="75"/>
      <c r="AV408" s="75"/>
      <c r="AW408" s="75"/>
      <c r="AX408" s="75"/>
      <c r="AY408" s="78"/>
      <c r="AZ408" s="77"/>
      <c r="BA408" s="75"/>
      <c r="BB408" s="75"/>
      <c r="BC408" s="75"/>
      <c r="BD408" s="75"/>
      <c r="BE408" s="78"/>
      <c r="BF408" s="77"/>
      <c r="BG408" s="75"/>
      <c r="BH408" s="75"/>
      <c r="BI408" s="75"/>
      <c r="BJ408" s="75"/>
      <c r="BK408" s="78"/>
      <c r="BM408" s="122"/>
      <c r="BN408" s="123"/>
      <c r="BO408" s="123"/>
      <c r="BP408" s="123"/>
      <c r="BQ408" s="123"/>
      <c r="BR408" s="123"/>
      <c r="BS408" s="124"/>
      <c r="BU408" s="122"/>
      <c r="BV408" s="123"/>
      <c r="BW408" s="123"/>
      <c r="BX408" s="123"/>
      <c r="BY408" s="123"/>
      <c r="BZ408" s="123"/>
      <c r="CA408" s="123"/>
    </row>
    <row r="409" spans="1:79">
      <c r="A409" s="147" t="str">
        <f t="shared" si="1087"/>
        <v>D</v>
      </c>
      <c r="B409" s="148">
        <f t="shared" si="1088"/>
        <v>190000</v>
      </c>
      <c r="C409" s="149" t="s">
        <v>324</v>
      </c>
      <c r="D409" s="150" t="s">
        <v>0</v>
      </c>
      <c r="E409" s="150" t="s">
        <v>0</v>
      </c>
      <c r="F409" s="145" t="s">
        <v>31</v>
      </c>
      <c r="G409" s="150" t="s">
        <v>0</v>
      </c>
      <c r="H409" s="150" t="s">
        <v>0</v>
      </c>
      <c r="I409" s="150" t="s">
        <v>0</v>
      </c>
      <c r="J409" s="151" t="s">
        <v>0</v>
      </c>
      <c r="K409" s="13">
        <v>1</v>
      </c>
      <c r="L409" s="12" t="s">
        <v>32</v>
      </c>
      <c r="M409" s="13">
        <v>5</v>
      </c>
      <c r="N409" s="13">
        <v>0</v>
      </c>
      <c r="O409" s="14">
        <v>5</v>
      </c>
      <c r="P409" s="113">
        <f t="shared" ref="P409:P410" si="1125">SUM(BM409:BS409)</f>
        <v>0</v>
      </c>
      <c r="Q409" s="114">
        <f t="shared" ref="Q409:Q410" si="1126">K409-P409</f>
        <v>1</v>
      </c>
      <c r="R409" s="114">
        <f t="shared" ref="R409:R410" si="1127">SUM(BU409:CA409)</f>
        <v>0</v>
      </c>
      <c r="S409" s="114">
        <f t="shared" ref="S409:S410" si="1128">O409-R409</f>
        <v>5</v>
      </c>
      <c r="T409" s="93">
        <f t="shared" ref="T409:T410" si="1129">R409/O409</f>
        <v>0</v>
      </c>
      <c r="U409" t="s">
        <v>0</v>
      </c>
      <c r="V409" s="79"/>
      <c r="W409" s="76"/>
      <c r="X409" s="76"/>
      <c r="Y409" s="76"/>
      <c r="Z409" s="76"/>
      <c r="AA409" s="80"/>
      <c r="AB409" s="79"/>
      <c r="AC409" s="76"/>
      <c r="AD409" s="76"/>
      <c r="AE409" s="76"/>
      <c r="AF409" s="76"/>
      <c r="AG409" s="80"/>
      <c r="AH409" s="79"/>
      <c r="AI409" s="76"/>
      <c r="AJ409" s="76"/>
      <c r="AK409" s="76"/>
      <c r="AL409" s="76"/>
      <c r="AM409" s="80"/>
      <c r="AN409" s="79"/>
      <c r="AO409" s="76"/>
      <c r="AP409" s="76"/>
      <c r="AQ409" s="76"/>
      <c r="AR409" s="76"/>
      <c r="AS409" s="80"/>
      <c r="AT409" s="79"/>
      <c r="AU409" s="76"/>
      <c r="AV409" s="76"/>
      <c r="AW409" s="76"/>
      <c r="AX409" s="76"/>
      <c r="AY409" s="80"/>
      <c r="AZ409" s="79"/>
      <c r="BA409" s="76"/>
      <c r="BB409" s="76"/>
      <c r="BC409" s="76"/>
      <c r="BD409" s="76"/>
      <c r="BE409" s="80"/>
      <c r="BF409" s="79"/>
      <c r="BG409" s="76"/>
      <c r="BH409" s="76"/>
      <c r="BI409" s="76"/>
      <c r="BJ409" s="76"/>
      <c r="BK409" s="80"/>
      <c r="BM409" s="125">
        <f t="shared" ref="BM409:BM410" si="1130">SUM(V409:AA409)</f>
        <v>0</v>
      </c>
      <c r="BN409" s="126">
        <f t="shared" ref="BN409:BN410" si="1131">SUM(AB409:AG409)</f>
        <v>0</v>
      </c>
      <c r="BO409" s="126">
        <f t="shared" ref="BO409:BO410" si="1132">SUM(AH409:AM409)</f>
        <v>0</v>
      </c>
      <c r="BP409" s="126">
        <f t="shared" ref="BP409:BP410" si="1133">SUM(AN409:AS409)</f>
        <v>0</v>
      </c>
      <c r="BQ409" s="126">
        <f>SUM(AT409:AY409)</f>
        <v>0</v>
      </c>
      <c r="BR409" s="126">
        <f t="shared" ref="BR409:BS410" si="1134">SUM(AZ409:BE409)</f>
        <v>0</v>
      </c>
      <c r="BS409" s="127">
        <f t="shared" ref="BS409:BS410" si="1135">SUM(BF409:BK409)</f>
        <v>0</v>
      </c>
      <c r="BU409" s="125">
        <f t="shared" ref="BU409:BU410" si="1136">(BM409/$K409)*$O409</f>
        <v>0</v>
      </c>
      <c r="BV409" s="126">
        <f t="shared" ref="BV409:BV410" si="1137">(BN409/$K409)*$O409</f>
        <v>0</v>
      </c>
      <c r="BW409" s="126">
        <f t="shared" ref="BW409:BW410" si="1138">(BO409/$K409)*$O409</f>
        <v>0</v>
      </c>
      <c r="BX409" s="126">
        <f t="shared" ref="BX409:BX410" si="1139">(BP409/$K409)*$O409</f>
        <v>0</v>
      </c>
      <c r="BY409" s="126">
        <f t="shared" ref="BY409:CA410" si="1140">(BQ409/$K409)*$O409</f>
        <v>0</v>
      </c>
      <c r="BZ409" s="126">
        <f t="shared" si="1140"/>
        <v>0</v>
      </c>
      <c r="CA409" s="126">
        <f t="shared" si="1140"/>
        <v>0</v>
      </c>
    </row>
    <row r="410" spans="1:79">
      <c r="A410" s="147" t="str">
        <f t="shared" si="1087"/>
        <v>D</v>
      </c>
      <c r="B410" s="148">
        <f t="shared" si="1088"/>
        <v>190000</v>
      </c>
      <c r="C410" s="149" t="s">
        <v>324</v>
      </c>
      <c r="D410" s="150" t="s">
        <v>0</v>
      </c>
      <c r="E410" s="150" t="s">
        <v>0</v>
      </c>
      <c r="F410" s="145" t="s">
        <v>33</v>
      </c>
      <c r="G410" s="150" t="s">
        <v>0</v>
      </c>
      <c r="H410" s="150" t="s">
        <v>0</v>
      </c>
      <c r="I410" s="150" t="s">
        <v>0</v>
      </c>
      <c r="J410" s="151" t="s">
        <v>0</v>
      </c>
      <c r="K410" s="13">
        <v>4</v>
      </c>
      <c r="L410" s="12" t="s">
        <v>32</v>
      </c>
      <c r="M410" s="13">
        <v>8</v>
      </c>
      <c r="N410" s="13">
        <v>0</v>
      </c>
      <c r="O410" s="14">
        <v>8</v>
      </c>
      <c r="P410" s="113">
        <f t="shared" si="1125"/>
        <v>0</v>
      </c>
      <c r="Q410" s="114">
        <f t="shared" si="1126"/>
        <v>4</v>
      </c>
      <c r="R410" s="114">
        <f t="shared" si="1127"/>
        <v>0</v>
      </c>
      <c r="S410" s="114">
        <f t="shared" si="1128"/>
        <v>8</v>
      </c>
      <c r="T410" s="93">
        <f t="shared" si="1129"/>
        <v>0</v>
      </c>
      <c r="U410" t="s">
        <v>0</v>
      </c>
      <c r="V410" s="79"/>
      <c r="W410" s="76"/>
      <c r="X410" s="76"/>
      <c r="Y410" s="76"/>
      <c r="Z410" s="76"/>
      <c r="AA410" s="80"/>
      <c r="AB410" s="79"/>
      <c r="AC410" s="76"/>
      <c r="AD410" s="76"/>
      <c r="AE410" s="76"/>
      <c r="AF410" s="76"/>
      <c r="AG410" s="80"/>
      <c r="AH410" s="79"/>
      <c r="AI410" s="76"/>
      <c r="AJ410" s="76"/>
      <c r="AK410" s="76"/>
      <c r="AL410" s="76"/>
      <c r="AM410" s="80"/>
      <c r="AN410" s="79"/>
      <c r="AO410" s="76"/>
      <c r="AP410" s="76"/>
      <c r="AQ410" s="76"/>
      <c r="AR410" s="76"/>
      <c r="AS410" s="80"/>
      <c r="AT410" s="79"/>
      <c r="AU410" s="76"/>
      <c r="AV410" s="76"/>
      <c r="AW410" s="76"/>
      <c r="AX410" s="76"/>
      <c r="AY410" s="80"/>
      <c r="AZ410" s="79"/>
      <c r="BA410" s="76"/>
      <c r="BB410" s="76"/>
      <c r="BC410" s="76"/>
      <c r="BD410" s="76"/>
      <c r="BE410" s="80"/>
      <c r="BF410" s="79"/>
      <c r="BG410" s="76"/>
      <c r="BH410" s="76"/>
      <c r="BI410" s="76"/>
      <c r="BJ410" s="76"/>
      <c r="BK410" s="80"/>
      <c r="BM410" s="125">
        <f t="shared" si="1130"/>
        <v>0</v>
      </c>
      <c r="BN410" s="126">
        <f t="shared" si="1131"/>
        <v>0</v>
      </c>
      <c r="BO410" s="126">
        <f t="shared" si="1132"/>
        <v>0</v>
      </c>
      <c r="BP410" s="126">
        <f t="shared" si="1133"/>
        <v>0</v>
      </c>
      <c r="BQ410" s="126">
        <f>SUM(AT410:AY410)</f>
        <v>0</v>
      </c>
      <c r="BR410" s="126">
        <f t="shared" si="1134"/>
        <v>0</v>
      </c>
      <c r="BS410" s="127">
        <f t="shared" si="1135"/>
        <v>0</v>
      </c>
      <c r="BU410" s="125">
        <f t="shared" si="1136"/>
        <v>0</v>
      </c>
      <c r="BV410" s="126">
        <f t="shared" si="1137"/>
        <v>0</v>
      </c>
      <c r="BW410" s="126">
        <f t="shared" si="1138"/>
        <v>0</v>
      </c>
      <c r="BX410" s="126">
        <f t="shared" si="1139"/>
        <v>0</v>
      </c>
      <c r="BY410" s="126">
        <f t="shared" si="1140"/>
        <v>0</v>
      </c>
      <c r="BZ410" s="126">
        <f t="shared" si="1140"/>
        <v>0</v>
      </c>
      <c r="CA410" s="126">
        <f t="shared" si="1140"/>
        <v>0</v>
      </c>
    </row>
    <row r="411" spans="1:79" ht="15.75">
      <c r="A411" s="152" t="str">
        <f t="shared" si="1087"/>
        <v>P</v>
      </c>
      <c r="B411" s="153">
        <f t="shared" si="1088"/>
        <v>190000</v>
      </c>
      <c r="C411" s="154" t="s">
        <v>326</v>
      </c>
      <c r="D411" s="155" t="s">
        <v>0</v>
      </c>
      <c r="E411" s="155" t="s">
        <v>0</v>
      </c>
      <c r="F411" s="156" t="s">
        <v>327</v>
      </c>
      <c r="G411" s="155" t="s">
        <v>0</v>
      </c>
      <c r="H411" s="155" t="s">
        <v>0</v>
      </c>
      <c r="I411" s="155" t="s">
        <v>0</v>
      </c>
      <c r="J411" s="157" t="s">
        <v>0</v>
      </c>
      <c r="K411" s="11" t="s">
        <v>0</v>
      </c>
      <c r="L411" s="8" t="s">
        <v>0</v>
      </c>
      <c r="M411" s="9">
        <v>10</v>
      </c>
      <c r="N411" s="9">
        <v>0</v>
      </c>
      <c r="O411" s="10">
        <v>10</v>
      </c>
      <c r="P411" s="111"/>
      <c r="Q411" s="112"/>
      <c r="R411" s="112">
        <f>SUMIFS(R412:R$415,$C412:$C$415,$C411)</f>
        <v>0</v>
      </c>
      <c r="S411" s="112">
        <f>SUMIFS(S412:S$415,$C412:$C$415,$C411)</f>
        <v>10</v>
      </c>
      <c r="T411" s="92">
        <f t="shared" ref="T411:T416" si="1141">R411/O411</f>
        <v>0</v>
      </c>
      <c r="V411" s="77"/>
      <c r="W411" s="75"/>
      <c r="X411" s="75"/>
      <c r="Y411" s="75"/>
      <c r="Z411" s="75"/>
      <c r="AA411" s="78"/>
      <c r="AB411" s="77"/>
      <c r="AC411" s="75"/>
      <c r="AD411" s="75"/>
      <c r="AE411" s="75"/>
      <c r="AF411" s="75"/>
      <c r="AG411" s="78"/>
      <c r="AH411" s="77"/>
      <c r="AI411" s="75"/>
      <c r="AJ411" s="75"/>
      <c r="AK411" s="75"/>
      <c r="AL411" s="75"/>
      <c r="AM411" s="78"/>
      <c r="AN411" s="77"/>
      <c r="AO411" s="75"/>
      <c r="AP411" s="75"/>
      <c r="AQ411" s="75"/>
      <c r="AR411" s="75"/>
      <c r="AS411" s="78"/>
      <c r="AT411" s="77"/>
      <c r="AU411" s="75"/>
      <c r="AV411" s="75"/>
      <c r="AW411" s="75"/>
      <c r="AX411" s="75"/>
      <c r="AY411" s="78"/>
      <c r="AZ411" s="77"/>
      <c r="BA411" s="75"/>
      <c r="BB411" s="75"/>
      <c r="BC411" s="75"/>
      <c r="BD411" s="75"/>
      <c r="BE411" s="78"/>
      <c r="BF411" s="77"/>
      <c r="BG411" s="75"/>
      <c r="BH411" s="75"/>
      <c r="BI411" s="75"/>
      <c r="BJ411" s="75"/>
      <c r="BK411" s="78"/>
      <c r="BM411" s="122"/>
      <c r="BN411" s="123"/>
      <c r="BO411" s="123"/>
      <c r="BP411" s="123"/>
      <c r="BQ411" s="123"/>
      <c r="BR411" s="123"/>
      <c r="BS411" s="124"/>
      <c r="BU411" s="122"/>
      <c r="BV411" s="123"/>
      <c r="BW411" s="123"/>
      <c r="BX411" s="123"/>
      <c r="BY411" s="123"/>
      <c r="BZ411" s="123"/>
      <c r="CA411" s="123"/>
    </row>
    <row r="412" spans="1:79">
      <c r="A412" s="147" t="str">
        <f t="shared" si="1087"/>
        <v>D</v>
      </c>
      <c r="B412" s="148">
        <f t="shared" si="1088"/>
        <v>190000</v>
      </c>
      <c r="C412" s="149" t="s">
        <v>326</v>
      </c>
      <c r="D412" s="150" t="s">
        <v>0</v>
      </c>
      <c r="E412" s="150" t="s">
        <v>0</v>
      </c>
      <c r="F412" s="145" t="s">
        <v>36</v>
      </c>
      <c r="G412" s="150" t="s">
        <v>0</v>
      </c>
      <c r="H412" s="150" t="s">
        <v>0</v>
      </c>
      <c r="I412" s="150" t="s">
        <v>0</v>
      </c>
      <c r="J412" s="151" t="s">
        <v>0</v>
      </c>
      <c r="K412" s="13">
        <v>1</v>
      </c>
      <c r="L412" s="12" t="s">
        <v>32</v>
      </c>
      <c r="M412" s="13">
        <v>10</v>
      </c>
      <c r="N412" s="13">
        <v>0</v>
      </c>
      <c r="O412" s="14">
        <v>10</v>
      </c>
      <c r="P412" s="113">
        <f>SUM(BM412:BS412)</f>
        <v>0</v>
      </c>
      <c r="Q412" s="114">
        <f>K412-P412</f>
        <v>1</v>
      </c>
      <c r="R412" s="114">
        <f>SUM(BU412:CA412)</f>
        <v>0</v>
      </c>
      <c r="S412" s="114">
        <f>O412-R412</f>
        <v>10</v>
      </c>
      <c r="T412" s="93">
        <f t="shared" si="1141"/>
        <v>0</v>
      </c>
      <c r="U412" t="s">
        <v>0</v>
      </c>
      <c r="V412" s="79"/>
      <c r="W412" s="76"/>
      <c r="X412" s="76"/>
      <c r="Y412" s="76"/>
      <c r="Z412" s="76"/>
      <c r="AA412" s="80"/>
      <c r="AB412" s="79"/>
      <c r="AC412" s="76"/>
      <c r="AD412" s="76"/>
      <c r="AE412" s="76"/>
      <c r="AF412" s="76"/>
      <c r="AG412" s="80"/>
      <c r="AH412" s="79"/>
      <c r="AI412" s="76"/>
      <c r="AJ412" s="76"/>
      <c r="AK412" s="76"/>
      <c r="AL412" s="76"/>
      <c r="AM412" s="80"/>
      <c r="AN412" s="79"/>
      <c r="AO412" s="76"/>
      <c r="AP412" s="76"/>
      <c r="AQ412" s="76"/>
      <c r="AR412" s="76"/>
      <c r="AS412" s="80"/>
      <c r="AT412" s="79"/>
      <c r="AU412" s="76"/>
      <c r="AV412" s="76"/>
      <c r="AW412" s="76"/>
      <c r="AX412" s="76"/>
      <c r="AY412" s="80"/>
      <c r="AZ412" s="79"/>
      <c r="BA412" s="76"/>
      <c r="BB412" s="76"/>
      <c r="BC412" s="76"/>
      <c r="BD412" s="76"/>
      <c r="BE412" s="80"/>
      <c r="BF412" s="79"/>
      <c r="BG412" s="76"/>
      <c r="BH412" s="76"/>
      <c r="BI412" s="76"/>
      <c r="BJ412" s="76"/>
      <c r="BK412" s="80"/>
      <c r="BM412" s="125">
        <f>SUM(V412:AA412)</f>
        <v>0</v>
      </c>
      <c r="BN412" s="126">
        <f>SUM(AB412:AG412)</f>
        <v>0</v>
      </c>
      <c r="BO412" s="126">
        <f>SUM(AH412:AM412)</f>
        <v>0</v>
      </c>
      <c r="BP412" s="126">
        <f>SUM(AN412:AS412)</f>
        <v>0</v>
      </c>
      <c r="BQ412" s="126">
        <f>SUM(AT412:AY412)</f>
        <v>0</v>
      </c>
      <c r="BR412" s="126">
        <f>SUM(AZ412:BE412)</f>
        <v>0</v>
      </c>
      <c r="BS412" s="127">
        <f>SUM(BF412:BK412)</f>
        <v>0</v>
      </c>
      <c r="BU412" s="125">
        <f>(BM412/$K412)*$O412</f>
        <v>0</v>
      </c>
      <c r="BV412" s="126">
        <f t="shared" ref="BV412" si="1142">(BN412/$K412)*$O412</f>
        <v>0</v>
      </c>
      <c r="BW412" s="126">
        <f t="shared" ref="BW412" si="1143">(BO412/$K412)*$O412</f>
        <v>0</v>
      </c>
      <c r="BX412" s="126">
        <f t="shared" ref="BX412" si="1144">(BP412/$K412)*$O412</f>
        <v>0</v>
      </c>
      <c r="BY412" s="126">
        <f t="shared" ref="BY412:CA412" si="1145">(BQ412/$K412)*$O412</f>
        <v>0</v>
      </c>
      <c r="BZ412" s="126">
        <f t="shared" si="1145"/>
        <v>0</v>
      </c>
      <c r="CA412" s="126">
        <f t="shared" si="1145"/>
        <v>0</v>
      </c>
    </row>
    <row r="413" spans="1:79" ht="18.75">
      <c r="A413" s="158" t="str">
        <f t="shared" si="1087"/>
        <v>W</v>
      </c>
      <c r="B413" s="159">
        <f t="shared" si="1088"/>
        <v>200000</v>
      </c>
      <c r="C413" s="160" t="s">
        <v>14</v>
      </c>
      <c r="D413" s="161" t="s">
        <v>0</v>
      </c>
      <c r="E413" s="161" t="s">
        <v>0</v>
      </c>
      <c r="F413" s="162" t="s">
        <v>329</v>
      </c>
      <c r="G413" s="161" t="s">
        <v>0</v>
      </c>
      <c r="H413" s="161" t="s">
        <v>0</v>
      </c>
      <c r="I413" s="161" t="s">
        <v>0</v>
      </c>
      <c r="J413" s="163" t="s">
        <v>0</v>
      </c>
      <c r="K413" s="6" t="s">
        <v>0</v>
      </c>
      <c r="L413" s="3" t="s">
        <v>0</v>
      </c>
      <c r="M413" s="4">
        <v>240</v>
      </c>
      <c r="N413" s="4">
        <v>0</v>
      </c>
      <c r="O413" s="5">
        <v>240</v>
      </c>
      <c r="P413" s="115"/>
      <c r="Q413" s="116"/>
      <c r="R413" s="116">
        <f>SUMIFS(R414:R$415,$A414:$A$415,"P",$B414:$B$415,$B413)</f>
        <v>240</v>
      </c>
      <c r="S413" s="116">
        <f>SUMIFS(S414:S$415,$A414:$A$415,"P",$B414:$B$415,$B413)</f>
        <v>0</v>
      </c>
      <c r="T413" s="94">
        <f t="shared" si="1141"/>
        <v>1</v>
      </c>
      <c r="V413" s="77"/>
      <c r="W413" s="75"/>
      <c r="X413" s="75"/>
      <c r="Y413" s="75"/>
      <c r="Z413" s="75"/>
      <c r="AA413" s="78"/>
      <c r="AB413" s="77"/>
      <c r="AC413" s="75"/>
      <c r="AD413" s="75"/>
      <c r="AE413" s="75"/>
      <c r="AF413" s="75"/>
      <c r="AG413" s="78"/>
      <c r="AH413" s="77"/>
      <c r="AI413" s="75"/>
      <c r="AJ413" s="75"/>
      <c r="AK413" s="75"/>
      <c r="AL413" s="75"/>
      <c r="AM413" s="78"/>
      <c r="AN413" s="77"/>
      <c r="AO413" s="75"/>
      <c r="AP413" s="75"/>
      <c r="AQ413" s="75"/>
      <c r="AR413" s="75"/>
      <c r="AS413" s="78"/>
      <c r="AT413" s="77"/>
      <c r="AU413" s="75"/>
      <c r="AV413" s="75"/>
      <c r="AW413" s="75"/>
      <c r="AX413" s="75"/>
      <c r="AY413" s="78"/>
      <c r="AZ413" s="77"/>
      <c r="BA413" s="75"/>
      <c r="BB413" s="75"/>
      <c r="BC413" s="75"/>
      <c r="BD413" s="75"/>
      <c r="BE413" s="78"/>
      <c r="BF413" s="77"/>
      <c r="BG413" s="75"/>
      <c r="BH413" s="75"/>
      <c r="BI413" s="75"/>
      <c r="BJ413" s="75"/>
      <c r="BK413" s="78"/>
      <c r="BM413" s="122"/>
      <c r="BN413" s="123"/>
      <c r="BO413" s="123"/>
      <c r="BP413" s="123"/>
      <c r="BQ413" s="123"/>
      <c r="BR413" s="123"/>
      <c r="BS413" s="124"/>
      <c r="BU413" s="122"/>
      <c r="BV413" s="123"/>
      <c r="BW413" s="123"/>
      <c r="BX413" s="123"/>
      <c r="BY413" s="123"/>
      <c r="BZ413" s="123"/>
      <c r="CA413" s="123"/>
    </row>
    <row r="414" spans="1:79" ht="15.75">
      <c r="A414" s="152" t="str">
        <f t="shared" si="1087"/>
        <v>P</v>
      </c>
      <c r="B414" s="153">
        <f t="shared" si="1088"/>
        <v>200000</v>
      </c>
      <c r="C414" s="154" t="s">
        <v>330</v>
      </c>
      <c r="D414" s="155" t="s">
        <v>0</v>
      </c>
      <c r="E414" s="155" t="s">
        <v>0</v>
      </c>
      <c r="F414" s="156" t="s">
        <v>331</v>
      </c>
      <c r="G414" s="155" t="s">
        <v>0</v>
      </c>
      <c r="H414" s="155" t="s">
        <v>0</v>
      </c>
      <c r="I414" s="155" t="s">
        <v>0</v>
      </c>
      <c r="J414" s="157" t="s">
        <v>0</v>
      </c>
      <c r="K414" s="11" t="s">
        <v>0</v>
      </c>
      <c r="L414" s="8" t="s">
        <v>0</v>
      </c>
      <c r="M414" s="9">
        <v>240</v>
      </c>
      <c r="N414" s="9">
        <v>0</v>
      </c>
      <c r="O414" s="10">
        <v>240</v>
      </c>
      <c r="P414" s="111"/>
      <c r="Q414" s="112"/>
      <c r="R414" s="112">
        <f>SUMIFS(R415:R$415,$C415:$C$415,$C414)</f>
        <v>240</v>
      </c>
      <c r="S414" s="112">
        <f>SUMIFS(S415:S$415,$C415:$C$415,$C414)</f>
        <v>0</v>
      </c>
      <c r="T414" s="92">
        <f t="shared" si="1141"/>
        <v>1</v>
      </c>
      <c r="V414" s="77"/>
      <c r="W414" s="75"/>
      <c r="X414" s="75"/>
      <c r="Y414" s="75"/>
      <c r="Z414" s="75"/>
      <c r="AA414" s="78"/>
      <c r="AB414" s="77"/>
      <c r="AC414" s="75"/>
      <c r="AD414" s="75"/>
      <c r="AE414" s="75"/>
      <c r="AF414" s="75"/>
      <c r="AG414" s="78"/>
      <c r="AH414" s="77"/>
      <c r="AI414" s="75"/>
      <c r="AJ414" s="75"/>
      <c r="AK414" s="75"/>
      <c r="AL414" s="75"/>
      <c r="AM414" s="78"/>
      <c r="AN414" s="77"/>
      <c r="AO414" s="75"/>
      <c r="AP414" s="75"/>
      <c r="AQ414" s="75"/>
      <c r="AR414" s="75"/>
      <c r="AS414" s="78"/>
      <c r="AT414" s="77"/>
      <c r="AU414" s="75"/>
      <c r="AV414" s="75"/>
      <c r="AW414" s="75"/>
      <c r="AX414" s="75"/>
      <c r="AY414" s="78"/>
      <c r="AZ414" s="77"/>
      <c r="BA414" s="75"/>
      <c r="BB414" s="75"/>
      <c r="BC414" s="75"/>
      <c r="BD414" s="75"/>
      <c r="BE414" s="78"/>
      <c r="BF414" s="77"/>
      <c r="BG414" s="75"/>
      <c r="BH414" s="75"/>
      <c r="BI414" s="75"/>
      <c r="BJ414" s="75"/>
      <c r="BK414" s="78"/>
      <c r="BM414" s="122"/>
      <c r="BN414" s="123"/>
      <c r="BO414" s="123"/>
      <c r="BP414" s="123"/>
      <c r="BQ414" s="123"/>
      <c r="BR414" s="123"/>
      <c r="BS414" s="124"/>
      <c r="BU414" s="122"/>
      <c r="BV414" s="123"/>
      <c r="BW414" s="123"/>
      <c r="BX414" s="123"/>
      <c r="BY414" s="123"/>
      <c r="BZ414" s="123"/>
      <c r="CA414" s="123"/>
    </row>
    <row r="415" spans="1:79" ht="15.75" thickBot="1">
      <c r="A415" s="147" t="str">
        <f t="shared" si="1087"/>
        <v>D</v>
      </c>
      <c r="B415" s="148">
        <f t="shared" si="1088"/>
        <v>200000</v>
      </c>
      <c r="C415" s="149" t="s">
        <v>330</v>
      </c>
      <c r="D415" s="150" t="s">
        <v>0</v>
      </c>
      <c r="E415" s="150" t="s">
        <v>0</v>
      </c>
      <c r="F415" s="145" t="s">
        <v>332</v>
      </c>
      <c r="G415" s="150" t="s">
        <v>0</v>
      </c>
      <c r="H415" s="150" t="s">
        <v>0</v>
      </c>
      <c r="I415" s="150" t="s">
        <v>0</v>
      </c>
      <c r="J415" s="151" t="s">
        <v>0</v>
      </c>
      <c r="K415" s="13">
        <v>4</v>
      </c>
      <c r="L415" s="12" t="s">
        <v>328</v>
      </c>
      <c r="M415" s="13">
        <v>240</v>
      </c>
      <c r="N415" s="13">
        <v>0</v>
      </c>
      <c r="O415" s="14">
        <v>240</v>
      </c>
      <c r="P415" s="113">
        <f>SUM(BM415:BS415)</f>
        <v>4</v>
      </c>
      <c r="Q415" s="114">
        <f>K415-P415</f>
        <v>0</v>
      </c>
      <c r="R415" s="114">
        <f>SUM(BU415:CA415)</f>
        <v>240</v>
      </c>
      <c r="S415" s="114">
        <f>O415-R415</f>
        <v>0</v>
      </c>
      <c r="T415" s="93">
        <f t="shared" si="1141"/>
        <v>1</v>
      </c>
      <c r="U415" t="s">
        <v>0</v>
      </c>
      <c r="V415" s="84">
        <v>1</v>
      </c>
      <c r="W415" s="85"/>
      <c r="X415" s="85"/>
      <c r="Y415" s="85"/>
      <c r="Z415" s="85"/>
      <c r="AA415" s="86"/>
      <c r="AB415" s="84">
        <v>1</v>
      </c>
      <c r="AC415" s="85"/>
      <c r="AD415" s="85"/>
      <c r="AE415" s="85"/>
      <c r="AF415" s="85"/>
      <c r="AG415" s="86"/>
      <c r="AH415" s="84">
        <v>1</v>
      </c>
      <c r="AI415" s="85"/>
      <c r="AJ415" s="85"/>
      <c r="AK415" s="85"/>
      <c r="AL415" s="85"/>
      <c r="AM415" s="86"/>
      <c r="AN415" s="84">
        <v>1</v>
      </c>
      <c r="AO415" s="85"/>
      <c r="AP415" s="85"/>
      <c r="AQ415" s="85"/>
      <c r="AR415" s="85"/>
      <c r="AS415" s="86"/>
      <c r="AT415" s="84"/>
      <c r="AU415" s="85"/>
      <c r="AV415" s="85"/>
      <c r="AW415" s="85"/>
      <c r="AX415" s="85"/>
      <c r="AY415" s="86"/>
      <c r="AZ415" s="84"/>
      <c r="BA415" s="85"/>
      <c r="BB415" s="85"/>
      <c r="BC415" s="85"/>
      <c r="BD415" s="85"/>
      <c r="BE415" s="86"/>
      <c r="BF415" s="84"/>
      <c r="BG415" s="85"/>
      <c r="BH415" s="85"/>
      <c r="BI415" s="85"/>
      <c r="BJ415" s="85"/>
      <c r="BK415" s="86"/>
      <c r="BM415" s="125">
        <f>SUM(V415:AA415)</f>
        <v>1</v>
      </c>
      <c r="BN415" s="126">
        <f>SUM(AB415:AG415)</f>
        <v>1</v>
      </c>
      <c r="BO415" s="126">
        <f>SUM(AH415:AM415)</f>
        <v>1</v>
      </c>
      <c r="BP415" s="126">
        <f>SUM(AN415:AS415)</f>
        <v>1</v>
      </c>
      <c r="BQ415" s="126">
        <f>SUM(AT415:AY415)</f>
        <v>0</v>
      </c>
      <c r="BR415" s="126">
        <f>SUM(AZ415:BE415)</f>
        <v>0</v>
      </c>
      <c r="BS415" s="127">
        <f>SUM(BF415:BK415)</f>
        <v>0</v>
      </c>
      <c r="BU415" s="125">
        <f>(BM415/$K415)*$O415</f>
        <v>60</v>
      </c>
      <c r="BV415" s="126">
        <f t="shared" ref="BV415" si="1146">(BN415/$K415)*$O415</f>
        <v>60</v>
      </c>
      <c r="BW415" s="126">
        <f t="shared" ref="BW415" si="1147">(BO415/$K415)*$O415</f>
        <v>60</v>
      </c>
      <c r="BX415" s="126">
        <f t="shared" ref="BX415" si="1148">(BP415/$K415)*$O415</f>
        <v>60</v>
      </c>
      <c r="BY415" s="126">
        <f t="shared" ref="BY415:CA415" si="1149">(BQ415/$K415)*$O415</f>
        <v>0</v>
      </c>
      <c r="BZ415" s="126">
        <f t="shared" si="1149"/>
        <v>0</v>
      </c>
      <c r="CA415" s="126">
        <f t="shared" si="1149"/>
        <v>0</v>
      </c>
    </row>
    <row r="416" spans="1:79" ht="30" customHeight="1" thickBot="1">
      <c r="A416" s="170" t="s">
        <v>334</v>
      </c>
      <c r="B416" s="171" t="s">
        <v>334</v>
      </c>
      <c r="C416" s="172" t="s">
        <v>334</v>
      </c>
      <c r="D416" s="173" t="s">
        <v>334</v>
      </c>
      <c r="E416" s="173" t="s">
        <v>334</v>
      </c>
      <c r="F416" s="173" t="s">
        <v>334</v>
      </c>
      <c r="G416" s="173" t="s">
        <v>334</v>
      </c>
      <c r="H416" s="173" t="s">
        <v>334</v>
      </c>
      <c r="I416" s="173" t="s">
        <v>334</v>
      </c>
      <c r="J416" s="174" t="s">
        <v>334</v>
      </c>
      <c r="K416" s="18" t="s">
        <v>334</v>
      </c>
      <c r="L416" s="18" t="s">
        <v>334</v>
      </c>
      <c r="M416" s="15">
        <v>2589.94</v>
      </c>
      <c r="N416" s="15">
        <v>301.67</v>
      </c>
      <c r="O416" s="16">
        <v>2891.6099999999997</v>
      </c>
      <c r="P416" s="117"/>
      <c r="Q416" s="118"/>
      <c r="R416" s="118">
        <f>SUMIFS(R10:R415,$A10:$A415,"W")</f>
        <v>2501.6550000000002</v>
      </c>
      <c r="S416" s="118">
        <f>SUMIFS(S10:S415,$A10:$A415,"W")</f>
        <v>389.95499999999998</v>
      </c>
      <c r="T416" s="95">
        <f t="shared" si="1141"/>
        <v>0.86514260221814165</v>
      </c>
      <c r="V416" s="87"/>
      <c r="W416" s="88"/>
      <c r="X416" s="88"/>
      <c r="Y416" s="88"/>
      <c r="Z416" s="88"/>
      <c r="AA416" s="89"/>
      <c r="AB416" s="87"/>
      <c r="AC416" s="88"/>
      <c r="AD416" s="88"/>
      <c r="AE416" s="88"/>
      <c r="AF416" s="88"/>
      <c r="AG416" s="89"/>
      <c r="AH416" s="87"/>
      <c r="AI416" s="88"/>
      <c r="AJ416" s="88"/>
      <c r="AK416" s="88"/>
      <c r="AL416" s="88"/>
      <c r="AM416" s="89"/>
      <c r="AN416" s="87"/>
      <c r="AO416" s="88"/>
      <c r="AP416" s="88"/>
      <c r="AQ416" s="88"/>
      <c r="AR416" s="88"/>
      <c r="AS416" s="89"/>
      <c r="AT416" s="87"/>
      <c r="AU416" s="88"/>
      <c r="AV416" s="88"/>
      <c r="AW416" s="88"/>
      <c r="AX416" s="88"/>
      <c r="AY416" s="89"/>
      <c r="AZ416" s="87"/>
      <c r="BA416" s="88"/>
      <c r="BB416" s="88"/>
      <c r="BC416" s="88"/>
      <c r="BD416" s="88"/>
      <c r="BE416" s="89"/>
      <c r="BF416" s="87"/>
      <c r="BG416" s="88"/>
      <c r="BH416" s="88"/>
      <c r="BI416" s="88"/>
      <c r="BJ416" s="88"/>
      <c r="BK416" s="89"/>
      <c r="BM416" s="203"/>
      <c r="BN416" s="204"/>
      <c r="BO416" s="204"/>
      <c r="BP416" s="204"/>
      <c r="BQ416" s="204"/>
      <c r="BR416" s="204"/>
      <c r="BS416" s="205"/>
      <c r="BU416" s="128">
        <f>SUM(BU10:BU415)</f>
        <v>373.1</v>
      </c>
      <c r="BV416" s="129">
        <f t="shared" ref="BV416:BY416" si="1150">SUM(BV10:BV415)</f>
        <v>804.83501468497423</v>
      </c>
      <c r="BW416" s="129">
        <f t="shared" si="1150"/>
        <v>498.59511627906971</v>
      </c>
      <c r="BX416" s="129">
        <f t="shared" si="1150"/>
        <v>377.34650349650349</v>
      </c>
      <c r="BY416" s="129">
        <f t="shared" si="1150"/>
        <v>447.77836553945252</v>
      </c>
      <c r="BZ416" s="129">
        <f t="shared" ref="BZ416:CA416" si="1151">SUM(BZ10:BZ415)</f>
        <v>0</v>
      </c>
      <c r="CA416" s="129">
        <f t="shared" si="1151"/>
        <v>0</v>
      </c>
    </row>
  </sheetData>
  <autoFilter ref="A9:CA416" xr:uid="{00000000-0001-0000-0000-000000000000}"/>
  <mergeCells count="14">
    <mergeCell ref="BG8:BK8"/>
    <mergeCell ref="AO8:AS8"/>
    <mergeCell ref="AU8:AY8"/>
    <mergeCell ref="BA8:BE8"/>
    <mergeCell ref="L6:O6"/>
    <mergeCell ref="L7:O7"/>
    <mergeCell ref="W8:AA8"/>
    <mergeCell ref="AC8:AG8"/>
    <mergeCell ref="AI8:AM8"/>
    <mergeCell ref="L1:O1"/>
    <mergeCell ref="L2:O2"/>
    <mergeCell ref="L3:O3"/>
    <mergeCell ref="L4:O4"/>
    <mergeCell ref="L5:O5"/>
  </mergeCells>
  <pageMargins left="0.7" right="0.7" top="0.75" bottom="0.75" header="0.3" footer="0.3"/>
  <ignoredErrors>
    <ignoredError sqref="C9 C1:J7 U1:U7 U9:U416 C11:L11 D10:L10 C22:L22 D21:L21 C34:L34 D33:L33 C153:L153 D152:L152 C187:L187 D186:L186 C369:L369 D368:L368 C406:L406 D405:L405 C414:L414 D413:L413 C400:L400 C396:E396 G396:L396 E9:J9 C20:L20 C355:L355 C354:L354 C14:L14 C12:L12 C13:L13 C16:L16 C15:L15 C19:L19 C17:L18 C27:L27 C23:L26 C28:L32 C40:L40 C35:L39 C44:L44 C41:L43 C46:L46 C45:L45 C51:L51 C47:L50 C56:L56 C52:L55 C62:L62 C57:L61 C68:L68 C63:L67 C74:L74 C69:L73 C81:L81 C75:L80 C85:L85 C82:L84 C90:L90 C86:L89 C97:L97 C91:L96 C102:L102 C98:L101 C108:L108 C103:L107 C115:L115 C109:L114 C125:L125 C116:L124 C129:L129 C126:L128 C132:L132 C130:L131 C135:L135 C133:L134 C141:L141 C136:L140 C147:L147 C142:L146 C150:L150 C148:L149 C151:L151 C156:L156 C154:L155 C159:L159 C157:L158 C162:L162 C160:L161 C165:L165 C163:L164 C168:L168 C166:L167 C171:L171 C169:L170 C174:L174 C172:L173 C177:L177 C175:L176 C180:L180 C178:L179 C183:L183 C181:L182 C184:L185 C195:L195 C188:L194 C198:L198 C196:L197 C203:L203 C199:L202 C205:L205 C204:L204 C208:L208 C206:L207 C211:L211 C209:L210 C215:L215 C212:L214 C219:L219 C216:L218 C221:L221 C220:L220 C227:L227 C222:L226 C229:L229 C228:L228 C234:L234 C230:L233 C239:L239 C235:L238 C241:L241 C240:L240 C245:L245 C242:L244 C247:L247 C246:L246 C250:L250 C248:L249 C252:L252 C251:L251 C255:L255 C253:L254 C257:L257 C256:L256 C261:L261 C258:L260 C263:L263 C262:L262 C266:L266 C264:L265 C268:L268 C267:L267 C273:L273 C269:L272 C278:L278 C274:L277 C284:L284 C279:L283 C290:L290 C285:L289 C292:L292 C291:L291 C300:L300 C293:L299 C305:L305 C301:L304 C309:L309 C306:L308 C321:L321 C310:L320 C324:L324 C322:L323 C329:L329 C325:L328 C333:L333 C330:L332 C338:L338 C334:L337 C340:L340 C339:L339 C345:L345 C341:L344 C353:L353 C346:L352 C357:L357 C356:L356 C365:L365 C358:L364 C366:L367 C373:L373 C370:L372 C381:L381 C374:L380 C387:L387 C382:L386 C390:L390 C388:L389 C397:L398 C391:L395 C402:L402 C401:L401 C404:L404 C403:L403 C408:L408 C407:L407 C411:L411 C409:L410 C412:L412 C415:L415 C399:L3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 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Ables</cp:lastModifiedBy>
  <dcterms:modified xsi:type="dcterms:W3CDTF">2025-08-04T14:04:31Z</dcterms:modified>
</cp:coreProperties>
</file>